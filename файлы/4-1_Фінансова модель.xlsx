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hion" sheetId="1" r:id="rId5"/>
    <sheet state="visible" name="Fashion (копія)" sheetId="2" r:id="rId6"/>
    <sheet state="visible" name="Лист2" sheetId="3" r:id="rId7"/>
    <sheet state="visible" name="Показники" sheetId="4" r:id="rId8"/>
  </sheets>
  <definedNames/>
  <calcPr/>
</workbook>
</file>

<file path=xl/sharedStrings.xml><?xml version="1.0" encoding="utf-8"?>
<sst xmlns="http://schemas.openxmlformats.org/spreadsheetml/2006/main" count="142" uniqueCount="73">
  <si>
    <t>Рік 1</t>
  </si>
  <si>
    <t>Рік 2</t>
  </si>
  <si>
    <t>Дохід</t>
  </si>
  <si>
    <t>Дохід опт</t>
  </si>
  <si>
    <t>Дохід роздріб</t>
  </si>
  <si>
    <t>Відвідувачі на сайт</t>
  </si>
  <si>
    <t>Відсоток зростання кількості показів</t>
  </si>
  <si>
    <t>CV1 (конверсія сайту в оформлення заявки)</t>
  </si>
  <si>
    <t>Заявка</t>
  </si>
  <si>
    <t>CV2 (конверсія в оплати)</t>
  </si>
  <si>
    <t>Оплачені замовлення</t>
  </si>
  <si>
    <t>Середній чек опт</t>
  </si>
  <si>
    <t>Середній чек роздріб</t>
  </si>
  <si>
    <t>Вартість кліка</t>
  </si>
  <si>
    <t>Витрати на рекламу</t>
  </si>
  <si>
    <t>Прямі витрати</t>
  </si>
  <si>
    <t>Зарплата виробничих співр.</t>
  </si>
  <si>
    <t>Собівартість сировини</t>
  </si>
  <si>
    <t>Оренда складу + Комуналка</t>
  </si>
  <si>
    <t>Інші витрати</t>
  </si>
  <si>
    <t>Валовий прибуток</t>
  </si>
  <si>
    <t>Валова маржинальність, %</t>
  </si>
  <si>
    <t>Непрямі витрати</t>
  </si>
  <si>
    <t>Зв'язок, інтернет</t>
  </si>
  <si>
    <t>Зарплата адм. персоналу</t>
  </si>
  <si>
    <t>РКО</t>
  </si>
  <si>
    <t>Логістика</t>
  </si>
  <si>
    <t>ЗП відділу продажів</t>
  </si>
  <si>
    <t>Інтернет-сервіси</t>
  </si>
  <si>
    <t>Податки на співробітників</t>
  </si>
  <si>
    <t>Операційний прибуток (EBITDA)</t>
  </si>
  <si>
    <t>Операційна маржинальність,%</t>
  </si>
  <si>
    <t>Податки</t>
  </si>
  <si>
    <t>Кредити</t>
  </si>
  <si>
    <t>Амортизація</t>
  </si>
  <si>
    <t>Чистий Прибуток</t>
  </si>
  <si>
    <t>Чиста прибутковість (маржинальність), %</t>
  </si>
  <si>
    <t>Чистий Накопичувальний Прибуток</t>
  </si>
  <si>
    <t>Оборотний капітал</t>
  </si>
  <si>
    <t>Зміна оборотного капіталу</t>
  </si>
  <si>
    <t>Запаси</t>
  </si>
  <si>
    <t>Період обороту запасів, дн</t>
  </si>
  <si>
    <t>Запаси на початок місяця</t>
  </si>
  <si>
    <t>Запаси на кінець місяця</t>
  </si>
  <si>
    <t>Зміна запасів</t>
  </si>
  <si>
    <t>Дебіторська заборгованість</t>
  </si>
  <si>
    <t>Період обороту ДЗ, дн</t>
  </si>
  <si>
    <t>ДЗ на початок місяця</t>
  </si>
  <si>
    <t>ДЗ на кінець місяця</t>
  </si>
  <si>
    <t>Зміна ДЗ</t>
  </si>
  <si>
    <t>Грошові кошти</t>
  </si>
  <si>
    <t>Грошові кошти на початок місяця</t>
  </si>
  <si>
    <t>Грошовий потік від операційній діяльності</t>
  </si>
  <si>
    <t>Грошовий потік від інвестиційній діяльності (капітальні разові витрати)</t>
  </si>
  <si>
    <t>Закупка обладнання</t>
  </si>
  <si>
    <t>Ремонт приміщення</t>
  </si>
  <si>
    <t>Брендинг</t>
  </si>
  <si>
    <t>Розробка сайту</t>
  </si>
  <si>
    <t>Грошовий потік від фінансовій діяльності</t>
  </si>
  <si>
    <t>Кредит</t>
  </si>
  <si>
    <t>Власні інвестиції</t>
  </si>
  <si>
    <t>Чистий грошовий потік</t>
  </si>
  <si>
    <t>Грошові кошти на кінець місяця</t>
  </si>
  <si>
    <t>Чистая прибыль</t>
  </si>
  <si>
    <t>Чистая прибыль накопленным итогом</t>
  </si>
  <si>
    <t>Вир Собть</t>
  </si>
  <si>
    <t xml:space="preserve">Опер Витрати </t>
  </si>
  <si>
    <t>Період окупності (міс)</t>
  </si>
  <si>
    <t>Вкладені інвестиції/ Річний Прибуток</t>
  </si>
  <si>
    <t>Початкові інвестиції</t>
  </si>
  <si>
    <t>Річний прибуток</t>
  </si>
  <si>
    <t>Дохідність на вкладені інвестиції</t>
  </si>
  <si>
    <t>Річний прибуток/ Вкладені інвестиції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</si>
</sst>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0.0"/>
      <color rgb="FF000000"/>
      <name val="Calibri"/>
      <scheme val="minor"/>
    </font>
    <font>
      <sz val="10.0"/>
      <color rgb="FF000000"/>
      <name val="Montserrat"/>
    </font>
    <font>
      <b/>
      <sz val="10.0"/>
      <color rgb="FF999999"/>
      <name val="Montserrat"/>
    </font>
    <font>
      <sz val="14.0"/>
      <color theme="1"/>
      <name val="Montserrat"/>
    </font>
    <font>
      <sz val="14.0"/>
      <color rgb="FF999999"/>
      <name val="Montserrat"/>
    </font>
    <font>
      <sz val="11.0"/>
      <color theme="1"/>
      <name val="Montserrat"/>
    </font>
    <font>
      <sz val="11.0"/>
      <color rgb="FF999999"/>
      <name val="Montserrat"/>
    </font>
    <font>
      <sz val="10.0"/>
      <color theme="1"/>
      <name val="Montserrat"/>
    </font>
    <font>
      <sz val="10.0"/>
      <color rgb="FF999999"/>
      <name val="Montserrat"/>
    </font>
    <font>
      <i/>
      <sz val="10.0"/>
      <color rgb="FFFF00FF"/>
      <name val="Montserrat"/>
    </font>
    <font>
      <color rgb="FF999999"/>
      <name val="Calibri"/>
      <scheme val="minor"/>
    </font>
    <font>
      <sz val="11.0"/>
      <color rgb="FF000000"/>
      <name val="Montserrat"/>
    </font>
    <font>
      <sz val="11.0"/>
      <color rgb="FF3A3838"/>
      <name val="Montserrat"/>
    </font>
    <font>
      <i/>
      <sz val="10.0"/>
      <color rgb="FF3A3838"/>
      <name val="Montserrat"/>
    </font>
    <font>
      <sz val="11.0"/>
      <color theme="1"/>
      <name val="Calibri"/>
      <scheme val="minor"/>
    </font>
    <font>
      <color theme="1"/>
      <name val="Montserrat"/>
    </font>
    <font>
      <color theme="1"/>
      <name val="Calibri"/>
      <scheme val="minor"/>
    </font>
    <font>
      <sz val="13.0"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37" xfId="0" applyAlignment="1" applyBorder="1" applyFill="1" applyFont="1" applyNumberFormat="1">
      <alignment vertical="center"/>
    </xf>
    <xf borderId="1" fillId="2" fontId="1" numFmtId="37" xfId="0" applyAlignment="1" applyBorder="1" applyFont="1" applyNumberFormat="1">
      <alignment horizontal="left" vertical="center"/>
    </xf>
    <xf borderId="1" fillId="2" fontId="1" numFmtId="37" xfId="0" applyAlignment="1" applyBorder="1" applyFont="1" applyNumberFormat="1">
      <alignment readingOrder="0" vertical="center"/>
    </xf>
    <xf borderId="0" fillId="2" fontId="2" numFmtId="37" xfId="0" applyAlignment="1" applyFont="1" applyNumberFormat="1">
      <alignment horizontal="right" readingOrder="0" vertical="center"/>
    </xf>
    <xf borderId="0" fillId="2" fontId="3" numFmtId="3" xfId="0" applyAlignment="1" applyFont="1" applyNumberFormat="1">
      <alignment readingOrder="0"/>
    </xf>
    <xf borderId="0" fillId="2" fontId="3" numFmtId="3" xfId="0" applyAlignment="1" applyFont="1" applyNumberFormat="1">
      <alignment horizontal="left"/>
    </xf>
    <xf borderId="0" fillId="2" fontId="3" numFmtId="3" xfId="0" applyAlignment="1" applyFont="1" applyNumberFormat="1">
      <alignment horizontal="right"/>
    </xf>
    <xf borderId="0" fillId="2" fontId="4" numFmtId="3" xfId="0" applyAlignment="1" applyFont="1" applyNumberFormat="1">
      <alignment horizontal="right"/>
    </xf>
    <xf borderId="0" fillId="2" fontId="5" numFmtId="3" xfId="0" applyAlignment="1" applyFont="1" applyNumberFormat="1">
      <alignment horizontal="left" readingOrder="0" shrinkToFit="0" vertical="top" wrapText="1"/>
    </xf>
    <xf borderId="0" fillId="3" fontId="5" numFmtId="9" xfId="0" applyAlignment="1" applyFill="1" applyFont="1" applyNumberFormat="1">
      <alignment horizontal="left" readingOrder="0" shrinkToFit="0" vertical="top" wrapText="1"/>
    </xf>
    <xf borderId="0" fillId="0" fontId="5" numFmtId="3" xfId="0" applyAlignment="1" applyFont="1" applyNumberFormat="1">
      <alignment horizontal="right" shrinkToFit="0" vertical="top" wrapText="1"/>
    </xf>
    <xf borderId="0" fillId="0" fontId="6" numFmtId="3" xfId="0" applyAlignment="1" applyFont="1" applyNumberFormat="1">
      <alignment horizontal="right" shrinkToFit="0" vertical="top" wrapText="1"/>
    </xf>
    <xf borderId="0" fillId="2" fontId="7" numFmtId="3" xfId="0" applyAlignment="1" applyFont="1" applyNumberFormat="1">
      <alignment horizontal="left" readingOrder="0" shrinkToFit="0" vertical="top" wrapText="1"/>
    </xf>
    <xf borderId="2" fillId="3" fontId="7" numFmtId="3" xfId="0" applyAlignment="1" applyBorder="1" applyFont="1" applyNumberFormat="1">
      <alignment horizontal="left" readingOrder="0" shrinkToFit="0" vertical="top" wrapText="1"/>
    </xf>
    <xf borderId="0" fillId="0" fontId="7" numFmtId="3" xfId="0" applyAlignment="1" applyFont="1" applyNumberFormat="1">
      <alignment horizontal="right" shrinkToFit="0" vertical="top" wrapText="1"/>
    </xf>
    <xf borderId="0" fillId="0" fontId="8" numFmtId="3" xfId="0" applyAlignment="1" applyFont="1" applyNumberFormat="1">
      <alignment horizontal="right" shrinkToFit="0" vertical="top" wrapText="1"/>
    </xf>
    <xf borderId="0" fillId="2" fontId="7" numFmtId="0" xfId="0" applyAlignment="1" applyFont="1">
      <alignment horizontal="left" shrinkToFit="0" vertical="top" wrapText="1"/>
    </xf>
    <xf borderId="2" fillId="3" fontId="7" numFmtId="9" xfId="0" applyAlignment="1" applyBorder="1" applyFont="1" applyNumberFormat="1">
      <alignment horizontal="left" readingOrder="0" shrinkToFit="0" vertical="top" wrapText="1"/>
    </xf>
    <xf borderId="0" fillId="2" fontId="7" numFmtId="0" xfId="0" applyAlignment="1" applyFont="1">
      <alignment horizontal="left" readingOrder="0" shrinkToFit="0" vertical="top" wrapText="1"/>
    </xf>
    <xf borderId="0" fillId="2" fontId="7" numFmtId="3" xfId="0" applyAlignment="1" applyFont="1" applyNumberFormat="1">
      <alignment shrinkToFit="0" vertical="top" wrapText="1"/>
    </xf>
    <xf borderId="0" fillId="2" fontId="1" numFmtId="0" xfId="0" applyFont="1"/>
    <xf borderId="2" fillId="3" fontId="7" numFmtId="9" xfId="0" applyAlignment="1" applyBorder="1" applyFont="1" applyNumberFormat="1">
      <alignment horizontal="left" shrinkToFit="0" vertical="top" wrapText="1"/>
    </xf>
    <xf borderId="0" fillId="3" fontId="7" numFmtId="3" xfId="0" applyAlignment="1" applyFont="1" applyNumberFormat="1">
      <alignment horizontal="left" readingOrder="0" shrinkToFit="0" vertical="top" wrapText="1"/>
    </xf>
    <xf borderId="1" fillId="3" fontId="7" numFmtId="3" xfId="0" applyAlignment="1" applyBorder="1" applyFont="1" applyNumberFormat="1">
      <alignment horizontal="left" readingOrder="0" shrinkToFit="0" vertical="top" wrapText="1"/>
    </xf>
    <xf borderId="0" fillId="2" fontId="7" numFmtId="0" xfId="0" applyAlignment="1" applyFont="1">
      <alignment shrinkToFit="0" vertical="top" wrapText="1"/>
    </xf>
    <xf borderId="2" fillId="2" fontId="3" numFmtId="3" xfId="0" applyAlignment="1" applyBorder="1" applyFont="1" applyNumberFormat="1">
      <alignment readingOrder="0"/>
    </xf>
    <xf borderId="2" fillId="2" fontId="3" numFmtId="3" xfId="0" applyAlignment="1" applyBorder="1" applyFont="1" applyNumberFormat="1">
      <alignment horizontal="left"/>
    </xf>
    <xf borderId="2" fillId="2" fontId="3" numFmtId="3" xfId="0" applyAlignment="1" applyBorder="1" applyFont="1" applyNumberFormat="1">
      <alignment horizontal="right"/>
    </xf>
    <xf borderId="2" fillId="3" fontId="7" numFmtId="3" xfId="0" applyAlignment="1" applyBorder="1" applyFont="1" applyNumberForma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0" fillId="0" fontId="1" numFmtId="0" xfId="0" applyFont="1"/>
    <xf borderId="0" fillId="0" fontId="7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9" numFmtId="10" xfId="0" applyAlignment="1" applyFont="1" applyNumberFormat="1">
      <alignment horizontal="right" shrinkToFit="0" vertical="top" wrapText="1"/>
    </xf>
    <xf borderId="0" fillId="0" fontId="10" numFmtId="0" xfId="0" applyFont="1"/>
    <xf borderId="0" fillId="0" fontId="7" numFmtId="0" xfId="0" applyAlignment="1" applyFont="1">
      <alignment horizontal="left" shrinkToFit="0" vertical="top" wrapText="1"/>
    </xf>
    <xf borderId="2" fillId="3" fontId="7" numFmtId="164" xfId="0" applyAlignment="1" applyBorder="1" applyFont="1" applyNumberFormat="1">
      <alignment horizontal="left" shrinkToFit="0" vertical="top" wrapText="1"/>
    </xf>
    <xf borderId="0" fillId="3" fontId="1" numFmtId="0" xfId="0" applyFont="1"/>
    <xf borderId="1" fillId="3" fontId="7" numFmtId="3" xfId="0" applyAlignment="1" applyBorder="1" applyFont="1" applyNumberFormat="1">
      <alignment horizontal="left" shrinkToFit="0" vertical="top" wrapText="1"/>
    </xf>
    <xf borderId="0" fillId="0" fontId="7" numFmtId="4" xfId="0" applyAlignment="1" applyFont="1" applyNumberForma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2" fillId="2" fontId="7" numFmtId="3" xfId="0" applyAlignment="1" applyBorder="1" applyFont="1" applyNumberFormat="1">
      <alignment horizontal="left" shrinkToFit="0" vertical="top" wrapText="1"/>
    </xf>
    <xf borderId="0" fillId="0" fontId="7" numFmtId="4" xfId="0" applyAlignment="1" applyFont="1" applyNumberFormat="1">
      <alignment horizontal="right" shrinkToFit="0" vertical="top" wrapText="1"/>
    </xf>
    <xf borderId="0" fillId="0" fontId="5" numFmtId="0" xfId="0" applyAlignment="1" applyFont="1">
      <alignment shrinkToFit="0" vertical="top" wrapText="1"/>
    </xf>
    <xf borderId="0" fillId="0" fontId="11" numFmtId="0" xfId="0" applyFont="1"/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right" readingOrder="0" shrinkToFit="0" vertical="top" wrapText="1"/>
    </xf>
    <xf borderId="0" fillId="0" fontId="7" numFmtId="3" xfId="0" applyAlignment="1" applyFont="1" applyNumberFormat="1">
      <alignment horizontal="right" readingOrder="0" shrinkToFit="0" vertical="top" wrapText="1"/>
    </xf>
    <xf borderId="0" fillId="0" fontId="5" numFmtId="3" xfId="0" applyAlignment="1" applyFont="1" applyNumberFormat="1">
      <alignment horizontal="right" readingOrder="0" shrinkToFit="0" vertical="top" wrapText="1"/>
    </xf>
    <xf borderId="0" fillId="0" fontId="14" numFmtId="0" xfId="0" applyFont="1"/>
    <xf borderId="1" fillId="2" fontId="3" numFmtId="3" xfId="0" applyAlignment="1" applyBorder="1" applyFont="1" applyNumberFormat="1">
      <alignment readingOrder="0"/>
    </xf>
    <xf borderId="1" fillId="2" fontId="3" numFmtId="3" xfId="0" applyAlignment="1" applyBorder="1" applyFont="1" applyNumberFormat="1">
      <alignment horizontal="left"/>
    </xf>
    <xf borderId="1" fillId="2" fontId="3" numFmtId="3" xfId="0" applyAlignment="1" applyBorder="1" applyFont="1" applyNumberFormat="1">
      <alignment horizontal="right"/>
    </xf>
    <xf borderId="0" fillId="0" fontId="5" numFmtId="0" xfId="0" applyAlignment="1" applyFont="1">
      <alignment horizontal="left" shrinkToFit="0" vertical="top" wrapText="1"/>
    </xf>
    <xf borderId="0" fillId="3" fontId="5" numFmtId="4" xfId="0" applyAlignment="1" applyFont="1" applyNumberFormat="1">
      <alignment horizontal="left" readingOrder="0" shrinkToFit="0" vertical="top" wrapText="1"/>
    </xf>
    <xf borderId="0" fillId="0" fontId="15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2" fontId="3" numFmtId="3" xfId="0" applyAlignment="1" applyFont="1" applyNumberFormat="1">
      <alignment horizontal="right" readingOrder="0"/>
    </xf>
    <xf borderId="0" fillId="3" fontId="5" numFmtId="9" xfId="0" applyAlignment="1" applyFont="1" applyNumberFormat="1">
      <alignment horizontal="left" shrinkToFit="0" vertical="top" wrapText="1"/>
    </xf>
    <xf borderId="0" fillId="3" fontId="7" numFmtId="3" xfId="0" applyAlignment="1" applyFont="1" applyNumberFormat="1">
      <alignment horizontal="left" shrinkToFit="0" vertical="top" wrapText="1"/>
    </xf>
    <xf borderId="0" fillId="3" fontId="5" numFmtId="4" xfId="0" applyAlignment="1" applyFont="1" applyNumberFormat="1">
      <alignment horizontal="left" shrinkToFit="0" vertical="top" wrapText="1"/>
    </xf>
    <xf borderId="0" fillId="0" fontId="16" numFmtId="0" xfId="0" applyAlignment="1" applyFont="1">
      <alignment readingOrder="0"/>
    </xf>
    <xf borderId="0" fillId="0" fontId="16" numFmtId="10" xfId="0" applyFont="1" applyNumberFormat="1"/>
    <xf borderId="0" fillId="0" fontId="16" numFmtId="0" xfId="0" applyFont="1"/>
    <xf borderId="0" fillId="0" fontId="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5" numFmtId="10" xfId="0" applyFont="1" applyNumberFormat="1"/>
  </cellXfs>
  <cellStyles count="1">
    <cellStyle xfId="0" name="Normal" builtinId="0"/>
  </cellStyles>
  <dxfs count="3">
    <dxf>
      <font>
        <color rgb="FF434343"/>
      </font>
      <fill>
        <patternFill patternType="solid">
          <fgColor rgb="FFABFFAB"/>
          <bgColor rgb="FFABFFAB"/>
        </patternFill>
      </fill>
      <border/>
    </dxf>
    <dxf>
      <font>
        <color rgb="FF434343"/>
      </font>
      <fill>
        <patternFill patternType="solid">
          <fgColor rgb="FFFFF2F1"/>
          <bgColor rgb="FFFFF2F1"/>
        </patternFill>
      </fill>
      <border/>
    </dxf>
    <dxf>
      <font/>
      <fill>
        <patternFill patternType="solid">
          <fgColor rgb="FFFFF2F1"/>
          <bgColor rgb="FFFFF2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3.14"/>
    <col customWidth="1" min="2" max="2" width="19.0"/>
    <col customWidth="1" min="3" max="14" width="12.71"/>
  </cols>
  <sheetData>
    <row r="1" ht="12.75" customHeight="1">
      <c r="A1" s="1"/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3">
        <v>13.0</v>
      </c>
      <c r="P1" s="3">
        <v>14.0</v>
      </c>
      <c r="Q1" s="3">
        <v>15.0</v>
      </c>
      <c r="R1" s="3">
        <v>16.0</v>
      </c>
      <c r="S1" s="3">
        <v>17.0</v>
      </c>
      <c r="T1" s="3">
        <v>18.0</v>
      </c>
      <c r="U1" s="3">
        <v>19.0</v>
      </c>
      <c r="V1" s="3">
        <v>20.0</v>
      </c>
      <c r="W1" s="3">
        <v>21.0</v>
      </c>
      <c r="X1" s="3">
        <v>22.0</v>
      </c>
      <c r="Y1" s="3">
        <v>23.0</v>
      </c>
      <c r="Z1" s="3">
        <v>24.0</v>
      </c>
      <c r="AA1" s="4" t="s">
        <v>0</v>
      </c>
      <c r="AB1" s="4" t="s">
        <v>1</v>
      </c>
    </row>
    <row r="2" ht="44.25" customHeight="1">
      <c r="A2" s="5" t="s">
        <v>2</v>
      </c>
      <c r="B2" s="6">
        <f>SUM(C2:N2)</f>
        <v>6317507.516</v>
      </c>
      <c r="C2" s="7">
        <f t="shared" ref="C2:Z2" si="1">SUM(C3:C4)</f>
        <v>396900</v>
      </c>
      <c r="D2" s="7">
        <f t="shared" si="1"/>
        <v>416745</v>
      </c>
      <c r="E2" s="7">
        <f t="shared" si="1"/>
        <v>437582.25</v>
      </c>
      <c r="F2" s="7">
        <f t="shared" si="1"/>
        <v>459461.3625</v>
      </c>
      <c r="G2" s="7">
        <f t="shared" si="1"/>
        <v>482434.4306</v>
      </c>
      <c r="H2" s="7">
        <f t="shared" si="1"/>
        <v>506556.1522</v>
      </c>
      <c r="I2" s="7">
        <f t="shared" si="1"/>
        <v>531883.9598</v>
      </c>
      <c r="J2" s="7">
        <f t="shared" si="1"/>
        <v>558478.1578</v>
      </c>
      <c r="K2" s="7">
        <f t="shared" si="1"/>
        <v>586402.0656</v>
      </c>
      <c r="L2" s="7">
        <f t="shared" si="1"/>
        <v>615722.1689</v>
      </c>
      <c r="M2" s="7">
        <f t="shared" si="1"/>
        <v>646508.2774</v>
      </c>
      <c r="N2" s="7">
        <f t="shared" si="1"/>
        <v>678833.6912</v>
      </c>
      <c r="O2" s="7">
        <f t="shared" si="1"/>
        <v>712775.3758</v>
      </c>
      <c r="P2" s="7">
        <f t="shared" si="1"/>
        <v>748414.1446</v>
      </c>
      <c r="Q2" s="7">
        <f t="shared" si="1"/>
        <v>785834.8518</v>
      </c>
      <c r="R2" s="7">
        <f t="shared" si="1"/>
        <v>825126.5944</v>
      </c>
      <c r="S2" s="7">
        <f t="shared" si="1"/>
        <v>866382.9241</v>
      </c>
      <c r="T2" s="7">
        <f t="shared" si="1"/>
        <v>909702.0703</v>
      </c>
      <c r="U2" s="7">
        <f t="shared" si="1"/>
        <v>955187.1739</v>
      </c>
      <c r="V2" s="7">
        <f t="shared" si="1"/>
        <v>1002946.533</v>
      </c>
      <c r="W2" s="7">
        <f t="shared" si="1"/>
        <v>1053093.859</v>
      </c>
      <c r="X2" s="7">
        <f t="shared" si="1"/>
        <v>1105748.552</v>
      </c>
      <c r="Y2" s="7">
        <f t="shared" si="1"/>
        <v>1161035.98</v>
      </c>
      <c r="Z2" s="7">
        <f t="shared" si="1"/>
        <v>1219087.779</v>
      </c>
      <c r="AA2" s="8">
        <f t="shared" ref="AA2:AA5" si="3">Sum(C2:N2)</f>
        <v>6317507.516</v>
      </c>
      <c r="AB2" s="8">
        <f>Sum(O2:Z2)</f>
        <v>11345335.84</v>
      </c>
    </row>
    <row r="3" ht="18.0" customHeight="1">
      <c r="A3" s="9" t="s">
        <v>3</v>
      </c>
      <c r="B3" s="10">
        <v>0.7</v>
      </c>
      <c r="C3" s="11">
        <f t="shared" ref="C3:Z3" si="2">C10*$B$3*$B$11</f>
        <v>330750</v>
      </c>
      <c r="D3" s="11">
        <f t="shared" si="2"/>
        <v>347287.5</v>
      </c>
      <c r="E3" s="11">
        <f t="shared" si="2"/>
        <v>364651.875</v>
      </c>
      <c r="F3" s="11">
        <f t="shared" si="2"/>
        <v>382884.4688</v>
      </c>
      <c r="G3" s="11">
        <f t="shared" si="2"/>
        <v>402028.6922</v>
      </c>
      <c r="H3" s="11">
        <f t="shared" si="2"/>
        <v>422130.1268</v>
      </c>
      <c r="I3" s="11">
        <f t="shared" si="2"/>
        <v>443236.6331</v>
      </c>
      <c r="J3" s="11">
        <f t="shared" si="2"/>
        <v>465398.4648</v>
      </c>
      <c r="K3" s="11">
        <f t="shared" si="2"/>
        <v>488668.388</v>
      </c>
      <c r="L3" s="11">
        <f t="shared" si="2"/>
        <v>513101.8074</v>
      </c>
      <c r="M3" s="11">
        <f t="shared" si="2"/>
        <v>538756.8978</v>
      </c>
      <c r="N3" s="11">
        <f t="shared" si="2"/>
        <v>565694.7427</v>
      </c>
      <c r="O3" s="11">
        <f t="shared" si="2"/>
        <v>593979.4798</v>
      </c>
      <c r="P3" s="11">
        <f t="shared" si="2"/>
        <v>623678.4538</v>
      </c>
      <c r="Q3" s="11">
        <f t="shared" si="2"/>
        <v>654862.3765</v>
      </c>
      <c r="R3" s="11">
        <f t="shared" si="2"/>
        <v>687605.4953</v>
      </c>
      <c r="S3" s="11">
        <f t="shared" si="2"/>
        <v>721985.7701</v>
      </c>
      <c r="T3" s="11">
        <f t="shared" si="2"/>
        <v>758085.0586</v>
      </c>
      <c r="U3" s="11">
        <f t="shared" si="2"/>
        <v>795989.3115</v>
      </c>
      <c r="V3" s="11">
        <f t="shared" si="2"/>
        <v>835788.7771</v>
      </c>
      <c r="W3" s="11">
        <f t="shared" si="2"/>
        <v>877578.216</v>
      </c>
      <c r="X3" s="11">
        <f t="shared" si="2"/>
        <v>921457.1268</v>
      </c>
      <c r="Y3" s="11">
        <f t="shared" si="2"/>
        <v>967529.9831</v>
      </c>
      <c r="Z3" s="11">
        <f t="shared" si="2"/>
        <v>1015906.482</v>
      </c>
      <c r="AA3" s="12">
        <f t="shared" si="3"/>
        <v>5264589.597</v>
      </c>
      <c r="AB3" s="12">
        <f t="shared" ref="AB3:AB5" si="5">SUM(O3:Z3)</f>
        <v>9454446.531</v>
      </c>
    </row>
    <row r="4" ht="18.0" customHeight="1">
      <c r="A4" s="9" t="s">
        <v>4</v>
      </c>
      <c r="B4" s="10">
        <v>0.3</v>
      </c>
      <c r="C4" s="11">
        <f t="shared" ref="C4:Z4" si="4">C10*$B$4*$B$12</f>
        <v>66150</v>
      </c>
      <c r="D4" s="11">
        <f t="shared" si="4"/>
        <v>69457.5</v>
      </c>
      <c r="E4" s="11">
        <f t="shared" si="4"/>
        <v>72930.375</v>
      </c>
      <c r="F4" s="11">
        <f t="shared" si="4"/>
        <v>76576.89375</v>
      </c>
      <c r="G4" s="11">
        <f t="shared" si="4"/>
        <v>80405.73844</v>
      </c>
      <c r="H4" s="11">
        <f t="shared" si="4"/>
        <v>84426.02536</v>
      </c>
      <c r="I4" s="11">
        <f t="shared" si="4"/>
        <v>88647.32663</v>
      </c>
      <c r="J4" s="11">
        <f t="shared" si="4"/>
        <v>93079.69296</v>
      </c>
      <c r="K4" s="11">
        <f t="shared" si="4"/>
        <v>97733.67761</v>
      </c>
      <c r="L4" s="11">
        <f t="shared" si="4"/>
        <v>102620.3615</v>
      </c>
      <c r="M4" s="11">
        <f t="shared" si="4"/>
        <v>107751.3796</v>
      </c>
      <c r="N4" s="11">
        <f t="shared" si="4"/>
        <v>113138.9485</v>
      </c>
      <c r="O4" s="11">
        <f t="shared" si="4"/>
        <v>118795.896</v>
      </c>
      <c r="P4" s="11">
        <f t="shared" si="4"/>
        <v>124735.6908</v>
      </c>
      <c r="Q4" s="11">
        <f t="shared" si="4"/>
        <v>130972.4753</v>
      </c>
      <c r="R4" s="11">
        <f t="shared" si="4"/>
        <v>137521.0991</v>
      </c>
      <c r="S4" s="11">
        <f t="shared" si="4"/>
        <v>144397.154</v>
      </c>
      <c r="T4" s="11">
        <f t="shared" si="4"/>
        <v>151617.0117</v>
      </c>
      <c r="U4" s="11">
        <f t="shared" si="4"/>
        <v>159197.8623</v>
      </c>
      <c r="V4" s="11">
        <f t="shared" si="4"/>
        <v>167157.7554</v>
      </c>
      <c r="W4" s="11">
        <f t="shared" si="4"/>
        <v>175515.6432</v>
      </c>
      <c r="X4" s="11">
        <f t="shared" si="4"/>
        <v>184291.4254</v>
      </c>
      <c r="Y4" s="11">
        <f t="shared" si="4"/>
        <v>193505.9966</v>
      </c>
      <c r="Z4" s="11">
        <f t="shared" si="4"/>
        <v>203181.2965</v>
      </c>
      <c r="AA4" s="12">
        <f t="shared" si="3"/>
        <v>1052917.919</v>
      </c>
      <c r="AB4" s="12">
        <f t="shared" si="5"/>
        <v>1890889.306</v>
      </c>
    </row>
    <row r="5" ht="12.75" customHeight="1">
      <c r="A5" s="13" t="s">
        <v>5</v>
      </c>
      <c r="B5" s="14">
        <v>2000.0</v>
      </c>
      <c r="C5" s="15">
        <f t="shared" ref="C5:Z5" si="6">B5+B5*$B$6</f>
        <v>2100</v>
      </c>
      <c r="D5" s="15">
        <f t="shared" si="6"/>
        <v>2205</v>
      </c>
      <c r="E5" s="15">
        <f t="shared" si="6"/>
        <v>2315.25</v>
      </c>
      <c r="F5" s="15">
        <f t="shared" si="6"/>
        <v>2431.0125</v>
      </c>
      <c r="G5" s="15">
        <f t="shared" si="6"/>
        <v>2552.563125</v>
      </c>
      <c r="H5" s="15">
        <f t="shared" si="6"/>
        <v>2680.191281</v>
      </c>
      <c r="I5" s="15">
        <f t="shared" si="6"/>
        <v>2814.200845</v>
      </c>
      <c r="J5" s="15">
        <f t="shared" si="6"/>
        <v>2954.910888</v>
      </c>
      <c r="K5" s="15">
        <f t="shared" si="6"/>
        <v>3102.656432</v>
      </c>
      <c r="L5" s="15">
        <f t="shared" si="6"/>
        <v>3257.789254</v>
      </c>
      <c r="M5" s="15">
        <f t="shared" si="6"/>
        <v>3420.678716</v>
      </c>
      <c r="N5" s="15">
        <f t="shared" si="6"/>
        <v>3591.712652</v>
      </c>
      <c r="O5" s="15">
        <f t="shared" si="6"/>
        <v>3771.298285</v>
      </c>
      <c r="P5" s="15">
        <f t="shared" si="6"/>
        <v>3959.863199</v>
      </c>
      <c r="Q5" s="15">
        <f t="shared" si="6"/>
        <v>4157.856359</v>
      </c>
      <c r="R5" s="15">
        <f t="shared" si="6"/>
        <v>4365.749177</v>
      </c>
      <c r="S5" s="15">
        <f t="shared" si="6"/>
        <v>4584.036636</v>
      </c>
      <c r="T5" s="15">
        <f t="shared" si="6"/>
        <v>4813.238467</v>
      </c>
      <c r="U5" s="15">
        <f t="shared" si="6"/>
        <v>5053.900391</v>
      </c>
      <c r="V5" s="15">
        <f t="shared" si="6"/>
        <v>5306.59541</v>
      </c>
      <c r="W5" s="15">
        <f t="shared" si="6"/>
        <v>5571.925181</v>
      </c>
      <c r="X5" s="15">
        <f t="shared" si="6"/>
        <v>5850.52144</v>
      </c>
      <c r="Y5" s="15">
        <f t="shared" si="6"/>
        <v>6143.047512</v>
      </c>
      <c r="Z5" s="15">
        <f t="shared" si="6"/>
        <v>6450.199887</v>
      </c>
      <c r="AA5" s="16">
        <f t="shared" si="3"/>
        <v>33425.96569</v>
      </c>
      <c r="AB5" s="16">
        <f t="shared" si="5"/>
        <v>60028.23194</v>
      </c>
    </row>
    <row r="6" ht="12.75" customHeight="1">
      <c r="A6" s="17" t="s">
        <v>6</v>
      </c>
      <c r="B6" s="18">
        <v>0.05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  <c r="AB6" s="16"/>
    </row>
    <row r="7" ht="12.75" customHeight="1">
      <c r="A7" s="19" t="s">
        <v>7</v>
      </c>
      <c r="B7" s="18">
        <v>0.03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6"/>
    </row>
    <row r="8" ht="12.75" customHeight="1">
      <c r="A8" s="20" t="s">
        <v>8</v>
      </c>
      <c r="B8" s="21"/>
      <c r="C8" s="15">
        <f t="shared" ref="C8:Z8" si="7">C5*$B$7</f>
        <v>63</v>
      </c>
      <c r="D8" s="15">
        <f t="shared" si="7"/>
        <v>66.15</v>
      </c>
      <c r="E8" s="15">
        <f t="shared" si="7"/>
        <v>69.4575</v>
      </c>
      <c r="F8" s="15">
        <f t="shared" si="7"/>
        <v>72.930375</v>
      </c>
      <c r="G8" s="15">
        <f t="shared" si="7"/>
        <v>76.57689375</v>
      </c>
      <c r="H8" s="15">
        <f t="shared" si="7"/>
        <v>80.40573844</v>
      </c>
      <c r="I8" s="15">
        <f t="shared" si="7"/>
        <v>84.42602536</v>
      </c>
      <c r="J8" s="15">
        <f t="shared" si="7"/>
        <v>88.64732663</v>
      </c>
      <c r="K8" s="15">
        <f t="shared" si="7"/>
        <v>93.07969296</v>
      </c>
      <c r="L8" s="15">
        <f t="shared" si="7"/>
        <v>97.73367761</v>
      </c>
      <c r="M8" s="15">
        <f t="shared" si="7"/>
        <v>102.6203615</v>
      </c>
      <c r="N8" s="15">
        <f t="shared" si="7"/>
        <v>107.7513796</v>
      </c>
      <c r="O8" s="15">
        <f t="shared" si="7"/>
        <v>113.1389485</v>
      </c>
      <c r="P8" s="15">
        <f t="shared" si="7"/>
        <v>118.795896</v>
      </c>
      <c r="Q8" s="15">
        <f t="shared" si="7"/>
        <v>124.7356908</v>
      </c>
      <c r="R8" s="15">
        <f t="shared" si="7"/>
        <v>130.9724753</v>
      </c>
      <c r="S8" s="15">
        <f t="shared" si="7"/>
        <v>137.5210991</v>
      </c>
      <c r="T8" s="15">
        <f t="shared" si="7"/>
        <v>144.397154</v>
      </c>
      <c r="U8" s="15">
        <f t="shared" si="7"/>
        <v>151.6170117</v>
      </c>
      <c r="V8" s="15">
        <f t="shared" si="7"/>
        <v>159.1978623</v>
      </c>
      <c r="W8" s="15">
        <f t="shared" si="7"/>
        <v>167.1577554</v>
      </c>
      <c r="X8" s="15">
        <f t="shared" si="7"/>
        <v>175.5156432</v>
      </c>
      <c r="Y8" s="15">
        <f t="shared" si="7"/>
        <v>184.2914254</v>
      </c>
      <c r="Z8" s="15">
        <f t="shared" si="7"/>
        <v>193.5059966</v>
      </c>
      <c r="AA8" s="16">
        <f>Sum(C8:N8)</f>
        <v>1002.778971</v>
      </c>
      <c r="AB8" s="16">
        <f>SUM(O8:Z8)</f>
        <v>1800.846958</v>
      </c>
    </row>
    <row r="9" ht="12.75" customHeight="1">
      <c r="A9" s="17" t="s">
        <v>9</v>
      </c>
      <c r="B9" s="22">
        <v>0.5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6"/>
    </row>
    <row r="10" ht="12.75" customHeight="1">
      <c r="A10" s="20" t="s">
        <v>10</v>
      </c>
      <c r="B10" s="21"/>
      <c r="C10" s="15">
        <f t="shared" ref="C10:Z10" si="8">C8*$B$9</f>
        <v>31.5</v>
      </c>
      <c r="D10" s="15">
        <f t="shared" si="8"/>
        <v>33.075</v>
      </c>
      <c r="E10" s="15">
        <f t="shared" si="8"/>
        <v>34.72875</v>
      </c>
      <c r="F10" s="15">
        <f t="shared" si="8"/>
        <v>36.4651875</v>
      </c>
      <c r="G10" s="15">
        <f t="shared" si="8"/>
        <v>38.28844688</v>
      </c>
      <c r="H10" s="15">
        <f t="shared" si="8"/>
        <v>40.20286922</v>
      </c>
      <c r="I10" s="15">
        <f t="shared" si="8"/>
        <v>42.21301268</v>
      </c>
      <c r="J10" s="15">
        <f t="shared" si="8"/>
        <v>44.32366331</v>
      </c>
      <c r="K10" s="15">
        <f t="shared" si="8"/>
        <v>46.53984648</v>
      </c>
      <c r="L10" s="15">
        <f t="shared" si="8"/>
        <v>48.8668388</v>
      </c>
      <c r="M10" s="15">
        <f t="shared" si="8"/>
        <v>51.31018074</v>
      </c>
      <c r="N10" s="15">
        <f t="shared" si="8"/>
        <v>53.87568978</v>
      </c>
      <c r="O10" s="15">
        <f t="shared" si="8"/>
        <v>56.56947427</v>
      </c>
      <c r="P10" s="15">
        <f t="shared" si="8"/>
        <v>59.39794798</v>
      </c>
      <c r="Q10" s="15">
        <f t="shared" si="8"/>
        <v>62.36784538</v>
      </c>
      <c r="R10" s="15">
        <f t="shared" si="8"/>
        <v>65.48623765</v>
      </c>
      <c r="S10" s="15">
        <f t="shared" si="8"/>
        <v>68.76054953</v>
      </c>
      <c r="T10" s="15">
        <f t="shared" si="8"/>
        <v>72.19857701</v>
      </c>
      <c r="U10" s="15">
        <f t="shared" si="8"/>
        <v>75.80850586</v>
      </c>
      <c r="V10" s="15">
        <f t="shared" si="8"/>
        <v>79.59893115</v>
      </c>
      <c r="W10" s="15">
        <f t="shared" si="8"/>
        <v>83.57887771</v>
      </c>
      <c r="X10" s="15">
        <f t="shared" si="8"/>
        <v>87.7578216</v>
      </c>
      <c r="Y10" s="15">
        <f t="shared" si="8"/>
        <v>92.14571268</v>
      </c>
      <c r="Z10" s="15">
        <f t="shared" si="8"/>
        <v>96.75299831</v>
      </c>
      <c r="AA10" s="16">
        <f>Sum(C10:N10)</f>
        <v>501.3894854</v>
      </c>
      <c r="AB10" s="16">
        <f>SUM(O10:Z10)</f>
        <v>900.4234791</v>
      </c>
    </row>
    <row r="11" ht="12.75" customHeight="1">
      <c r="A11" s="17" t="s">
        <v>11</v>
      </c>
      <c r="B11" s="23">
        <v>15000.0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6"/>
    </row>
    <row r="12" ht="12.75" customHeight="1">
      <c r="A12" s="17" t="s">
        <v>12</v>
      </c>
      <c r="B12" s="23">
        <v>7000.0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6"/>
    </row>
    <row r="13" ht="12.75" customHeight="1">
      <c r="A13" s="17" t="s">
        <v>13</v>
      </c>
      <c r="B13" s="24">
        <v>30.0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6"/>
    </row>
    <row r="14" ht="12.75" customHeight="1">
      <c r="A14" s="25" t="s">
        <v>14</v>
      </c>
      <c r="B14" s="21"/>
      <c r="C14" s="15">
        <f t="shared" ref="C14:Z14" si="9">-C5*$B$13</f>
        <v>-63000</v>
      </c>
      <c r="D14" s="15">
        <f t="shared" si="9"/>
        <v>-66150</v>
      </c>
      <c r="E14" s="15">
        <f t="shared" si="9"/>
        <v>-69457.5</v>
      </c>
      <c r="F14" s="15">
        <f t="shared" si="9"/>
        <v>-72930.375</v>
      </c>
      <c r="G14" s="15">
        <f t="shared" si="9"/>
        <v>-76576.89375</v>
      </c>
      <c r="H14" s="15">
        <f t="shared" si="9"/>
        <v>-80405.73844</v>
      </c>
      <c r="I14" s="15">
        <f t="shared" si="9"/>
        <v>-84426.02536</v>
      </c>
      <c r="J14" s="15">
        <f t="shared" si="9"/>
        <v>-88647.32663</v>
      </c>
      <c r="K14" s="15">
        <f t="shared" si="9"/>
        <v>-93079.69296</v>
      </c>
      <c r="L14" s="15">
        <f t="shared" si="9"/>
        <v>-97733.67761</v>
      </c>
      <c r="M14" s="15">
        <f t="shared" si="9"/>
        <v>-102620.3615</v>
      </c>
      <c r="N14" s="15">
        <f t="shared" si="9"/>
        <v>-107751.3796</v>
      </c>
      <c r="O14" s="15">
        <f t="shared" si="9"/>
        <v>-113138.9485</v>
      </c>
      <c r="P14" s="15">
        <f t="shared" si="9"/>
        <v>-118795.896</v>
      </c>
      <c r="Q14" s="15">
        <f t="shared" si="9"/>
        <v>-124735.6908</v>
      </c>
      <c r="R14" s="15">
        <f t="shared" si="9"/>
        <v>-130972.4753</v>
      </c>
      <c r="S14" s="15">
        <f t="shared" si="9"/>
        <v>-137521.0991</v>
      </c>
      <c r="T14" s="15">
        <f t="shared" si="9"/>
        <v>-144397.154</v>
      </c>
      <c r="U14" s="15">
        <f t="shared" si="9"/>
        <v>-151617.0117</v>
      </c>
      <c r="V14" s="15">
        <f t="shared" si="9"/>
        <v>-159197.8623</v>
      </c>
      <c r="W14" s="15">
        <f t="shared" si="9"/>
        <v>-167157.7554</v>
      </c>
      <c r="X14" s="15">
        <f t="shared" si="9"/>
        <v>-175515.6432</v>
      </c>
      <c r="Y14" s="15">
        <f t="shared" si="9"/>
        <v>-184291.4254</v>
      </c>
      <c r="Z14" s="15">
        <f t="shared" si="9"/>
        <v>-193505.9966</v>
      </c>
      <c r="AA14" s="16">
        <f>Sum(C14:N14)</f>
        <v>-1002778.971</v>
      </c>
      <c r="AB14" s="16">
        <f>SUM(B14:Z14)</f>
        <v>-2803625.929</v>
      </c>
    </row>
    <row r="15" ht="12.75" customHeight="1">
      <c r="A15" s="1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6"/>
    </row>
    <row r="16" ht="12.75" customHeight="1">
      <c r="A16" s="1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6"/>
    </row>
    <row r="17" ht="28.5" customHeight="1">
      <c r="A17" s="26" t="s">
        <v>15</v>
      </c>
      <c r="B17" s="27"/>
      <c r="C17" s="28">
        <f t="shared" ref="C17:Z17" si="10">SUM(C18:C21)</f>
        <v>-183791</v>
      </c>
      <c r="D17" s="28">
        <f t="shared" si="10"/>
        <v>-191530.55</v>
      </c>
      <c r="E17" s="28">
        <f t="shared" si="10"/>
        <v>-199657.0775</v>
      </c>
      <c r="F17" s="28">
        <f t="shared" si="10"/>
        <v>-208189.9314</v>
      </c>
      <c r="G17" s="28">
        <f t="shared" si="10"/>
        <v>-217149.4279</v>
      </c>
      <c r="H17" s="28">
        <f t="shared" si="10"/>
        <v>-226556.8993</v>
      </c>
      <c r="I17" s="28">
        <f t="shared" si="10"/>
        <v>-236434.7443</v>
      </c>
      <c r="J17" s="28">
        <f t="shared" si="10"/>
        <v>-246806.4815</v>
      </c>
      <c r="K17" s="28">
        <f t="shared" si="10"/>
        <v>-257696.8056</v>
      </c>
      <c r="L17" s="28">
        <f t="shared" si="10"/>
        <v>-269131.6459</v>
      </c>
      <c r="M17" s="28">
        <f t="shared" si="10"/>
        <v>-281138.2282</v>
      </c>
      <c r="N17" s="28">
        <f t="shared" si="10"/>
        <v>-293745.1396</v>
      </c>
      <c r="O17" s="28">
        <f t="shared" si="10"/>
        <v>-306982.3966</v>
      </c>
      <c r="P17" s="28">
        <f t="shared" si="10"/>
        <v>-320881.5164</v>
      </c>
      <c r="Q17" s="28">
        <f t="shared" si="10"/>
        <v>-335475.5922</v>
      </c>
      <c r="R17" s="28">
        <f t="shared" si="10"/>
        <v>-350799.3718</v>
      </c>
      <c r="S17" s="28">
        <f t="shared" si="10"/>
        <v>-366889.3404</v>
      </c>
      <c r="T17" s="28">
        <f t="shared" si="10"/>
        <v>-383783.8074</v>
      </c>
      <c r="U17" s="28">
        <f t="shared" si="10"/>
        <v>-401522.9978</v>
      </c>
      <c r="V17" s="28">
        <f t="shared" si="10"/>
        <v>-420149.1477</v>
      </c>
      <c r="W17" s="28">
        <f t="shared" si="10"/>
        <v>-439706.6051</v>
      </c>
      <c r="X17" s="28">
        <f t="shared" si="10"/>
        <v>-460241.9353</v>
      </c>
      <c r="Y17" s="28">
        <f t="shared" si="10"/>
        <v>-481804.0321</v>
      </c>
      <c r="Z17" s="28">
        <f t="shared" si="10"/>
        <v>-504444.2337</v>
      </c>
      <c r="AA17" s="8">
        <f t="shared" ref="AA17:AA21" si="12">Sum(C17:N17)</f>
        <v>-2811827.931</v>
      </c>
      <c r="AB17" s="8">
        <f>Sum(O17:Z17)</f>
        <v>-4772680.977</v>
      </c>
    </row>
    <row r="18" ht="12.75" customHeight="1">
      <c r="A18" s="17" t="s">
        <v>16</v>
      </c>
      <c r="B18" s="22">
        <v>0.09</v>
      </c>
      <c r="C18" s="15">
        <f t="shared" ref="C18:Z18" si="11">-C2*$B$18</f>
        <v>-35721</v>
      </c>
      <c r="D18" s="15">
        <f t="shared" si="11"/>
        <v>-37507.05</v>
      </c>
      <c r="E18" s="15">
        <f t="shared" si="11"/>
        <v>-39382.4025</v>
      </c>
      <c r="F18" s="15">
        <f t="shared" si="11"/>
        <v>-41351.52263</v>
      </c>
      <c r="G18" s="15">
        <f t="shared" si="11"/>
        <v>-43419.09876</v>
      </c>
      <c r="H18" s="15">
        <f t="shared" si="11"/>
        <v>-45590.05369</v>
      </c>
      <c r="I18" s="15">
        <f t="shared" si="11"/>
        <v>-47869.55638</v>
      </c>
      <c r="J18" s="15">
        <f t="shared" si="11"/>
        <v>-50263.0342</v>
      </c>
      <c r="K18" s="15">
        <f t="shared" si="11"/>
        <v>-52776.18591</v>
      </c>
      <c r="L18" s="15">
        <f t="shared" si="11"/>
        <v>-55414.9952</v>
      </c>
      <c r="M18" s="15">
        <f t="shared" si="11"/>
        <v>-58185.74496</v>
      </c>
      <c r="N18" s="15">
        <f t="shared" si="11"/>
        <v>-61095.03221</v>
      </c>
      <c r="O18" s="15">
        <f t="shared" si="11"/>
        <v>-64149.78382</v>
      </c>
      <c r="P18" s="15">
        <f t="shared" si="11"/>
        <v>-67357.27301</v>
      </c>
      <c r="Q18" s="15">
        <f t="shared" si="11"/>
        <v>-70725.13666</v>
      </c>
      <c r="R18" s="15">
        <f t="shared" si="11"/>
        <v>-74261.3935</v>
      </c>
      <c r="S18" s="15">
        <f t="shared" si="11"/>
        <v>-77974.46317</v>
      </c>
      <c r="T18" s="15">
        <f t="shared" si="11"/>
        <v>-81873.18633</v>
      </c>
      <c r="U18" s="15">
        <f t="shared" si="11"/>
        <v>-85966.84565</v>
      </c>
      <c r="V18" s="15">
        <f t="shared" si="11"/>
        <v>-90265.18793</v>
      </c>
      <c r="W18" s="15">
        <f t="shared" si="11"/>
        <v>-94778.44733</v>
      </c>
      <c r="X18" s="15">
        <f t="shared" si="11"/>
        <v>-99517.36969</v>
      </c>
      <c r="Y18" s="15">
        <f t="shared" si="11"/>
        <v>-104493.2382</v>
      </c>
      <c r="Z18" s="15">
        <f t="shared" si="11"/>
        <v>-109717.9001</v>
      </c>
      <c r="AA18" s="16">
        <f t="shared" si="12"/>
        <v>-568575.6764</v>
      </c>
      <c r="AB18" s="16">
        <f t="shared" ref="AB18:AB21" si="14">SUM(O18:Z18)</f>
        <v>-1021080.225</v>
      </c>
    </row>
    <row r="19" ht="12.75" customHeight="1">
      <c r="A19" s="17" t="s">
        <v>17</v>
      </c>
      <c r="B19" s="18">
        <v>0.3</v>
      </c>
      <c r="C19" s="15">
        <f t="shared" ref="C19:Z19" si="13">-C2*$B$19</f>
        <v>-119070</v>
      </c>
      <c r="D19" s="15">
        <f t="shared" si="13"/>
        <v>-125023.5</v>
      </c>
      <c r="E19" s="15">
        <f t="shared" si="13"/>
        <v>-131274.675</v>
      </c>
      <c r="F19" s="15">
        <f t="shared" si="13"/>
        <v>-137838.4088</v>
      </c>
      <c r="G19" s="15">
        <f t="shared" si="13"/>
        <v>-144730.3292</v>
      </c>
      <c r="H19" s="15">
        <f t="shared" si="13"/>
        <v>-151966.8456</v>
      </c>
      <c r="I19" s="15">
        <f t="shared" si="13"/>
        <v>-159565.1879</v>
      </c>
      <c r="J19" s="15">
        <f t="shared" si="13"/>
        <v>-167543.4473</v>
      </c>
      <c r="K19" s="15">
        <f t="shared" si="13"/>
        <v>-175920.6197</v>
      </c>
      <c r="L19" s="15">
        <f t="shared" si="13"/>
        <v>-184716.6507</v>
      </c>
      <c r="M19" s="15">
        <f t="shared" si="13"/>
        <v>-193952.4832</v>
      </c>
      <c r="N19" s="15">
        <f t="shared" si="13"/>
        <v>-203650.1074</v>
      </c>
      <c r="O19" s="15">
        <f t="shared" si="13"/>
        <v>-213832.6127</v>
      </c>
      <c r="P19" s="15">
        <f t="shared" si="13"/>
        <v>-224524.2434</v>
      </c>
      <c r="Q19" s="15">
        <f t="shared" si="13"/>
        <v>-235750.4555</v>
      </c>
      <c r="R19" s="15">
        <f t="shared" si="13"/>
        <v>-247537.9783</v>
      </c>
      <c r="S19" s="15">
        <f t="shared" si="13"/>
        <v>-259914.8772</v>
      </c>
      <c r="T19" s="15">
        <f t="shared" si="13"/>
        <v>-272910.6211</v>
      </c>
      <c r="U19" s="15">
        <f t="shared" si="13"/>
        <v>-286556.1522</v>
      </c>
      <c r="V19" s="15">
        <f t="shared" si="13"/>
        <v>-300883.9598</v>
      </c>
      <c r="W19" s="15">
        <f t="shared" si="13"/>
        <v>-315928.1578</v>
      </c>
      <c r="X19" s="15">
        <f t="shared" si="13"/>
        <v>-331724.5656</v>
      </c>
      <c r="Y19" s="15">
        <f t="shared" si="13"/>
        <v>-348310.7939</v>
      </c>
      <c r="Z19" s="15">
        <f t="shared" si="13"/>
        <v>-365726.3336</v>
      </c>
      <c r="AA19" s="16">
        <f t="shared" si="12"/>
        <v>-1895252.255</v>
      </c>
      <c r="AB19" s="16">
        <f t="shared" si="14"/>
        <v>-3403600.751</v>
      </c>
    </row>
    <row r="20" ht="12.75" customHeight="1">
      <c r="A20" s="17" t="s">
        <v>18</v>
      </c>
      <c r="B20" s="29">
        <v>-29000.0</v>
      </c>
      <c r="C20" s="15">
        <f t="shared" ref="C20:Z20" si="15">$B$20</f>
        <v>-29000</v>
      </c>
      <c r="D20" s="15">
        <f t="shared" si="15"/>
        <v>-29000</v>
      </c>
      <c r="E20" s="15">
        <f t="shared" si="15"/>
        <v>-29000</v>
      </c>
      <c r="F20" s="15">
        <f t="shared" si="15"/>
        <v>-29000</v>
      </c>
      <c r="G20" s="15">
        <f t="shared" si="15"/>
        <v>-29000</v>
      </c>
      <c r="H20" s="15">
        <f t="shared" si="15"/>
        <v>-29000</v>
      </c>
      <c r="I20" s="15">
        <f t="shared" si="15"/>
        <v>-29000</v>
      </c>
      <c r="J20" s="15">
        <f t="shared" si="15"/>
        <v>-29000</v>
      </c>
      <c r="K20" s="15">
        <f t="shared" si="15"/>
        <v>-29000</v>
      </c>
      <c r="L20" s="15">
        <f t="shared" si="15"/>
        <v>-29000</v>
      </c>
      <c r="M20" s="15">
        <f t="shared" si="15"/>
        <v>-29000</v>
      </c>
      <c r="N20" s="15">
        <f t="shared" si="15"/>
        <v>-29000</v>
      </c>
      <c r="O20" s="15">
        <f t="shared" si="15"/>
        <v>-29000</v>
      </c>
      <c r="P20" s="15">
        <f t="shared" si="15"/>
        <v>-29000</v>
      </c>
      <c r="Q20" s="15">
        <f t="shared" si="15"/>
        <v>-29000</v>
      </c>
      <c r="R20" s="15">
        <f t="shared" si="15"/>
        <v>-29000</v>
      </c>
      <c r="S20" s="15">
        <f t="shared" si="15"/>
        <v>-29000</v>
      </c>
      <c r="T20" s="15">
        <f t="shared" si="15"/>
        <v>-29000</v>
      </c>
      <c r="U20" s="15">
        <f t="shared" si="15"/>
        <v>-29000</v>
      </c>
      <c r="V20" s="15">
        <f t="shared" si="15"/>
        <v>-29000</v>
      </c>
      <c r="W20" s="15">
        <f t="shared" si="15"/>
        <v>-29000</v>
      </c>
      <c r="X20" s="15">
        <f t="shared" si="15"/>
        <v>-29000</v>
      </c>
      <c r="Y20" s="15">
        <f t="shared" si="15"/>
        <v>-29000</v>
      </c>
      <c r="Z20" s="15">
        <f t="shared" si="15"/>
        <v>-29000</v>
      </c>
      <c r="AA20" s="16">
        <f t="shared" si="12"/>
        <v>-348000</v>
      </c>
      <c r="AB20" s="16">
        <f t="shared" si="14"/>
        <v>-348000</v>
      </c>
    </row>
    <row r="21" ht="12.75" customHeight="1">
      <c r="A21" s="19" t="s">
        <v>19</v>
      </c>
      <c r="B21" s="29">
        <v>0.0</v>
      </c>
      <c r="C21" s="15">
        <f t="shared" ref="C21:Z21" si="16">$B$21</f>
        <v>0</v>
      </c>
      <c r="D21" s="15">
        <f t="shared" si="16"/>
        <v>0</v>
      </c>
      <c r="E21" s="15">
        <f t="shared" si="16"/>
        <v>0</v>
      </c>
      <c r="F21" s="15">
        <f t="shared" si="16"/>
        <v>0</v>
      </c>
      <c r="G21" s="15">
        <f t="shared" si="16"/>
        <v>0</v>
      </c>
      <c r="H21" s="15">
        <f t="shared" si="16"/>
        <v>0</v>
      </c>
      <c r="I21" s="15">
        <f t="shared" si="16"/>
        <v>0</v>
      </c>
      <c r="J21" s="15">
        <f t="shared" si="16"/>
        <v>0</v>
      </c>
      <c r="K21" s="15">
        <f t="shared" si="16"/>
        <v>0</v>
      </c>
      <c r="L21" s="15">
        <f t="shared" si="16"/>
        <v>0</v>
      </c>
      <c r="M21" s="15">
        <f t="shared" si="16"/>
        <v>0</v>
      </c>
      <c r="N21" s="15">
        <f t="shared" si="16"/>
        <v>0</v>
      </c>
      <c r="O21" s="15">
        <f t="shared" si="16"/>
        <v>0</v>
      </c>
      <c r="P21" s="15">
        <f t="shared" si="16"/>
        <v>0</v>
      </c>
      <c r="Q21" s="15">
        <f t="shared" si="16"/>
        <v>0</v>
      </c>
      <c r="R21" s="15">
        <f t="shared" si="16"/>
        <v>0</v>
      </c>
      <c r="S21" s="15">
        <f t="shared" si="16"/>
        <v>0</v>
      </c>
      <c r="T21" s="15">
        <f t="shared" si="16"/>
        <v>0</v>
      </c>
      <c r="U21" s="15">
        <f t="shared" si="16"/>
        <v>0</v>
      </c>
      <c r="V21" s="15">
        <f t="shared" si="16"/>
        <v>0</v>
      </c>
      <c r="W21" s="15">
        <f t="shared" si="16"/>
        <v>0</v>
      </c>
      <c r="X21" s="15">
        <f t="shared" si="16"/>
        <v>0</v>
      </c>
      <c r="Y21" s="15">
        <f t="shared" si="16"/>
        <v>0</v>
      </c>
      <c r="Z21" s="15">
        <f t="shared" si="16"/>
        <v>0</v>
      </c>
      <c r="AA21" s="16">
        <f t="shared" si="12"/>
        <v>0</v>
      </c>
      <c r="AB21" s="16">
        <f t="shared" si="14"/>
        <v>0</v>
      </c>
    </row>
    <row r="22" ht="12.75" customHeight="1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  <c r="AB22" s="33"/>
    </row>
    <row r="23" ht="12.75" customHeight="1">
      <c r="A23" s="5" t="s">
        <v>20</v>
      </c>
      <c r="B23" s="6"/>
      <c r="C23" s="7">
        <f t="shared" ref="C23:Z23" si="17">C2+C17</f>
        <v>213109</v>
      </c>
      <c r="D23" s="7">
        <f t="shared" si="17"/>
        <v>225214.45</v>
      </c>
      <c r="E23" s="7">
        <f t="shared" si="17"/>
        <v>237925.1725</v>
      </c>
      <c r="F23" s="7">
        <f t="shared" si="17"/>
        <v>251271.4311</v>
      </c>
      <c r="G23" s="7">
        <f t="shared" si="17"/>
        <v>265285.0027</v>
      </c>
      <c r="H23" s="7">
        <f t="shared" si="17"/>
        <v>279999.2528</v>
      </c>
      <c r="I23" s="7">
        <f t="shared" si="17"/>
        <v>295449.2155</v>
      </c>
      <c r="J23" s="7">
        <f t="shared" si="17"/>
        <v>311671.6762</v>
      </c>
      <c r="K23" s="7">
        <f t="shared" si="17"/>
        <v>328705.26</v>
      </c>
      <c r="L23" s="7">
        <f t="shared" si="17"/>
        <v>346590.523</v>
      </c>
      <c r="M23" s="7">
        <f t="shared" si="17"/>
        <v>365370.0492</v>
      </c>
      <c r="N23" s="7">
        <f t="shared" si="17"/>
        <v>385088.5517</v>
      </c>
      <c r="O23" s="7">
        <f t="shared" si="17"/>
        <v>405792.9792</v>
      </c>
      <c r="P23" s="7">
        <f t="shared" si="17"/>
        <v>427532.6282</v>
      </c>
      <c r="Q23" s="7">
        <f t="shared" si="17"/>
        <v>450359.2596</v>
      </c>
      <c r="R23" s="7">
        <f t="shared" si="17"/>
        <v>474327.2226</v>
      </c>
      <c r="S23" s="7">
        <f t="shared" si="17"/>
        <v>499493.5837</v>
      </c>
      <c r="T23" s="7">
        <f t="shared" si="17"/>
        <v>525918.2629</v>
      </c>
      <c r="U23" s="7">
        <f t="shared" si="17"/>
        <v>553664.176</v>
      </c>
      <c r="V23" s="7">
        <f t="shared" si="17"/>
        <v>582797.3849</v>
      </c>
      <c r="W23" s="7">
        <f t="shared" si="17"/>
        <v>613387.2541</v>
      </c>
      <c r="X23" s="7">
        <f t="shared" si="17"/>
        <v>645506.6168</v>
      </c>
      <c r="Y23" s="7">
        <f t="shared" si="17"/>
        <v>679231.9476</v>
      </c>
      <c r="Z23" s="7">
        <f t="shared" si="17"/>
        <v>714643.545</v>
      </c>
      <c r="AA23" s="8">
        <f>Sum(C23:N23)</f>
        <v>3505679.585</v>
      </c>
      <c r="AB23" s="8">
        <f>Sum(O23:Z23)</f>
        <v>6572654.861</v>
      </c>
    </row>
    <row r="24" ht="12.75" customHeight="1">
      <c r="A24" s="34" t="s">
        <v>21</v>
      </c>
      <c r="C24" s="35">
        <f t="shared" ref="C24:Z24" si="18">C23/C2</f>
        <v>0.5369337365</v>
      </c>
      <c r="D24" s="35">
        <f t="shared" si="18"/>
        <v>0.5404130823</v>
      </c>
      <c r="E24" s="35">
        <f t="shared" si="18"/>
        <v>0.5437267451</v>
      </c>
      <c r="F24" s="35">
        <f t="shared" si="18"/>
        <v>0.5468826144</v>
      </c>
      <c r="G24" s="35">
        <f t="shared" si="18"/>
        <v>0.5498882042</v>
      </c>
      <c r="H24" s="35">
        <f t="shared" si="18"/>
        <v>0.5527506706</v>
      </c>
      <c r="I24" s="35">
        <f t="shared" si="18"/>
        <v>0.5554768292</v>
      </c>
      <c r="J24" s="35">
        <f t="shared" si="18"/>
        <v>0.5580731706</v>
      </c>
      <c r="K24" s="35">
        <f t="shared" si="18"/>
        <v>0.5605458768</v>
      </c>
      <c r="L24" s="35">
        <f t="shared" si="18"/>
        <v>0.562900835</v>
      </c>
      <c r="M24" s="35">
        <f t="shared" si="18"/>
        <v>0.5651436524</v>
      </c>
      <c r="N24" s="35">
        <f t="shared" si="18"/>
        <v>0.567279669</v>
      </c>
      <c r="O24" s="35">
        <f t="shared" si="18"/>
        <v>0.5693139705</v>
      </c>
      <c r="P24" s="35">
        <f t="shared" si="18"/>
        <v>0.5712514004</v>
      </c>
      <c r="Q24" s="35">
        <f t="shared" si="18"/>
        <v>0.5730965718</v>
      </c>
      <c r="R24" s="35">
        <f t="shared" si="18"/>
        <v>0.5748538779</v>
      </c>
      <c r="S24" s="35">
        <f t="shared" si="18"/>
        <v>0.5765275028</v>
      </c>
      <c r="T24" s="35">
        <f t="shared" si="18"/>
        <v>0.5781214312</v>
      </c>
      <c r="U24" s="35">
        <f t="shared" si="18"/>
        <v>0.5796394583</v>
      </c>
      <c r="V24" s="35">
        <f t="shared" si="18"/>
        <v>0.5810851984</v>
      </c>
      <c r="W24" s="35">
        <f t="shared" si="18"/>
        <v>0.5824620937</v>
      </c>
      <c r="X24" s="35">
        <f t="shared" si="18"/>
        <v>0.5837734226</v>
      </c>
      <c r="Y24" s="35">
        <f t="shared" si="18"/>
        <v>0.5850223072</v>
      </c>
      <c r="Z24" s="35">
        <f t="shared" si="18"/>
        <v>0.5862117212</v>
      </c>
      <c r="AA24" s="35">
        <f>AVERAGE(C24:N24)</f>
        <v>0.5533345905</v>
      </c>
      <c r="AB24" s="35">
        <f>AVERAGE(O24:Z24)</f>
        <v>0.5784465797</v>
      </c>
    </row>
    <row r="25" ht="12.75" customHeight="1">
      <c r="A25" s="30"/>
      <c r="B25" s="31"/>
      <c r="C25" s="32"/>
      <c r="AA25" s="36"/>
      <c r="AB25" s="36"/>
    </row>
    <row r="26" ht="28.5" customHeight="1">
      <c r="A26" s="26" t="s">
        <v>22</v>
      </c>
      <c r="B26" s="27"/>
      <c r="C26" s="28">
        <f t="shared" ref="C26:Z26" si="19">SUM(C27:C36)</f>
        <v>-166528</v>
      </c>
      <c r="D26" s="28">
        <f t="shared" si="19"/>
        <v>-172059.4</v>
      </c>
      <c r="E26" s="28">
        <f t="shared" si="19"/>
        <v>-177867.37</v>
      </c>
      <c r="F26" s="28">
        <f t="shared" si="19"/>
        <v>-183965.7385</v>
      </c>
      <c r="G26" s="28">
        <f t="shared" si="19"/>
        <v>-190369.0254</v>
      </c>
      <c r="H26" s="28">
        <f t="shared" si="19"/>
        <v>-197092.4767</v>
      </c>
      <c r="I26" s="28">
        <f t="shared" si="19"/>
        <v>-204152.1005</v>
      </c>
      <c r="J26" s="28">
        <f t="shared" si="19"/>
        <v>-211564.7056</v>
      </c>
      <c r="K26" s="28">
        <f t="shared" si="19"/>
        <v>-219347.9408</v>
      </c>
      <c r="L26" s="28">
        <f t="shared" si="19"/>
        <v>-227520.3379</v>
      </c>
      <c r="M26" s="28">
        <f t="shared" si="19"/>
        <v>-236101.3548</v>
      </c>
      <c r="N26" s="28">
        <f t="shared" si="19"/>
        <v>-245111.4225</v>
      </c>
      <c r="O26" s="28">
        <f t="shared" si="19"/>
        <v>-254571.9936</v>
      </c>
      <c r="P26" s="28">
        <f t="shared" si="19"/>
        <v>-264505.5933</v>
      </c>
      <c r="Q26" s="28">
        <f t="shared" si="19"/>
        <v>-274935.873</v>
      </c>
      <c r="R26" s="28">
        <f t="shared" si="19"/>
        <v>-285887.6666</v>
      </c>
      <c r="S26" s="28">
        <f t="shared" si="19"/>
        <v>-297387.05</v>
      </c>
      <c r="T26" s="28">
        <f t="shared" si="19"/>
        <v>-309461.4025</v>
      </c>
      <c r="U26" s="28">
        <f t="shared" si="19"/>
        <v>-322139.4726</v>
      </c>
      <c r="V26" s="28">
        <f t="shared" si="19"/>
        <v>-335451.4462</v>
      </c>
      <c r="W26" s="28">
        <f t="shared" si="19"/>
        <v>-349429.0185</v>
      </c>
      <c r="X26" s="28">
        <f t="shared" si="19"/>
        <v>-364105.4695</v>
      </c>
      <c r="Y26" s="28">
        <f t="shared" si="19"/>
        <v>-379515.7429</v>
      </c>
      <c r="Z26" s="28">
        <f t="shared" si="19"/>
        <v>-395696.5301</v>
      </c>
      <c r="AA26" s="8">
        <f t="shared" ref="AA26:AA35" si="21">Sum(C26:N26)</f>
        <v>-2431679.873</v>
      </c>
      <c r="AB26" s="8">
        <f>Sum(O26:Z26)</f>
        <v>-3833087.259</v>
      </c>
    </row>
    <row r="27" ht="12.75" customHeight="1">
      <c r="A27" s="37" t="s">
        <v>23</v>
      </c>
      <c r="B27" s="29">
        <v>-10000.0</v>
      </c>
      <c r="C27" s="15">
        <f t="shared" ref="C27:Z27" si="20">$B$27</f>
        <v>-10000</v>
      </c>
      <c r="D27" s="15">
        <f t="shared" si="20"/>
        <v>-10000</v>
      </c>
      <c r="E27" s="15">
        <f t="shared" si="20"/>
        <v>-10000</v>
      </c>
      <c r="F27" s="15">
        <f t="shared" si="20"/>
        <v>-10000</v>
      </c>
      <c r="G27" s="15">
        <f t="shared" si="20"/>
        <v>-10000</v>
      </c>
      <c r="H27" s="15">
        <f t="shared" si="20"/>
        <v>-10000</v>
      </c>
      <c r="I27" s="15">
        <f t="shared" si="20"/>
        <v>-10000</v>
      </c>
      <c r="J27" s="15">
        <f t="shared" si="20"/>
        <v>-10000</v>
      </c>
      <c r="K27" s="15">
        <f t="shared" si="20"/>
        <v>-10000</v>
      </c>
      <c r="L27" s="15">
        <f t="shared" si="20"/>
        <v>-10000</v>
      </c>
      <c r="M27" s="15">
        <f t="shared" si="20"/>
        <v>-10000</v>
      </c>
      <c r="N27" s="15">
        <f t="shared" si="20"/>
        <v>-10000</v>
      </c>
      <c r="O27" s="15">
        <f t="shared" si="20"/>
        <v>-10000</v>
      </c>
      <c r="P27" s="15">
        <f t="shared" si="20"/>
        <v>-10000</v>
      </c>
      <c r="Q27" s="15">
        <f t="shared" si="20"/>
        <v>-10000</v>
      </c>
      <c r="R27" s="15">
        <f t="shared" si="20"/>
        <v>-10000</v>
      </c>
      <c r="S27" s="15">
        <f t="shared" si="20"/>
        <v>-10000</v>
      </c>
      <c r="T27" s="15">
        <f t="shared" si="20"/>
        <v>-10000</v>
      </c>
      <c r="U27" s="15">
        <f t="shared" si="20"/>
        <v>-10000</v>
      </c>
      <c r="V27" s="15">
        <f t="shared" si="20"/>
        <v>-10000</v>
      </c>
      <c r="W27" s="15">
        <f t="shared" si="20"/>
        <v>-10000</v>
      </c>
      <c r="X27" s="15">
        <f t="shared" si="20"/>
        <v>-10000</v>
      </c>
      <c r="Y27" s="15">
        <f t="shared" si="20"/>
        <v>-10000</v>
      </c>
      <c r="Z27" s="15">
        <f t="shared" si="20"/>
        <v>-10000</v>
      </c>
      <c r="AA27" s="16">
        <f t="shared" si="21"/>
        <v>-120000</v>
      </c>
      <c r="AB27" s="16">
        <f t="shared" ref="AB27:AB35" si="23">SUM(O27:Z27)</f>
        <v>-120000</v>
      </c>
    </row>
    <row r="28" ht="12.75" customHeight="1">
      <c r="A28" s="37" t="s">
        <v>24</v>
      </c>
      <c r="B28" s="14">
        <v>-20000.0</v>
      </c>
      <c r="C28" s="15">
        <f t="shared" ref="C28:Z28" si="22">$B$28</f>
        <v>-20000</v>
      </c>
      <c r="D28" s="15">
        <f t="shared" si="22"/>
        <v>-20000</v>
      </c>
      <c r="E28" s="15">
        <f t="shared" si="22"/>
        <v>-20000</v>
      </c>
      <c r="F28" s="15">
        <f t="shared" si="22"/>
        <v>-20000</v>
      </c>
      <c r="G28" s="15">
        <f t="shared" si="22"/>
        <v>-20000</v>
      </c>
      <c r="H28" s="15">
        <f t="shared" si="22"/>
        <v>-20000</v>
      </c>
      <c r="I28" s="15">
        <f t="shared" si="22"/>
        <v>-20000</v>
      </c>
      <c r="J28" s="15">
        <f t="shared" si="22"/>
        <v>-20000</v>
      </c>
      <c r="K28" s="15">
        <f t="shared" si="22"/>
        <v>-20000</v>
      </c>
      <c r="L28" s="15">
        <f t="shared" si="22"/>
        <v>-20000</v>
      </c>
      <c r="M28" s="15">
        <f t="shared" si="22"/>
        <v>-20000</v>
      </c>
      <c r="N28" s="15">
        <f t="shared" si="22"/>
        <v>-20000</v>
      </c>
      <c r="O28" s="15">
        <f t="shared" si="22"/>
        <v>-20000</v>
      </c>
      <c r="P28" s="15">
        <f t="shared" si="22"/>
        <v>-20000</v>
      </c>
      <c r="Q28" s="15">
        <f t="shared" si="22"/>
        <v>-20000</v>
      </c>
      <c r="R28" s="15">
        <f t="shared" si="22"/>
        <v>-20000</v>
      </c>
      <c r="S28" s="15">
        <f t="shared" si="22"/>
        <v>-20000</v>
      </c>
      <c r="T28" s="15">
        <f t="shared" si="22"/>
        <v>-20000</v>
      </c>
      <c r="U28" s="15">
        <f t="shared" si="22"/>
        <v>-20000</v>
      </c>
      <c r="V28" s="15">
        <f t="shared" si="22"/>
        <v>-20000</v>
      </c>
      <c r="W28" s="15">
        <f t="shared" si="22"/>
        <v>-20000</v>
      </c>
      <c r="X28" s="15">
        <f t="shared" si="22"/>
        <v>-20000</v>
      </c>
      <c r="Y28" s="15">
        <f t="shared" si="22"/>
        <v>-20000</v>
      </c>
      <c r="Z28" s="15">
        <f t="shared" si="22"/>
        <v>-20000</v>
      </c>
      <c r="AA28" s="16">
        <f t="shared" si="21"/>
        <v>-240000</v>
      </c>
      <c r="AB28" s="16">
        <f t="shared" si="23"/>
        <v>-240000</v>
      </c>
    </row>
    <row r="29" ht="12.75" customHeight="1">
      <c r="A29" s="37" t="s">
        <v>25</v>
      </c>
      <c r="B29" s="38">
        <v>0.01</v>
      </c>
      <c r="C29" s="15">
        <f t="shared" ref="C29:Z29" si="24">-$B$29*C2</f>
        <v>-3969</v>
      </c>
      <c r="D29" s="15">
        <f t="shared" si="24"/>
        <v>-4167.45</v>
      </c>
      <c r="E29" s="15">
        <f t="shared" si="24"/>
        <v>-4375.8225</v>
      </c>
      <c r="F29" s="15">
        <f t="shared" si="24"/>
        <v>-4594.613625</v>
      </c>
      <c r="G29" s="15">
        <f t="shared" si="24"/>
        <v>-4824.344306</v>
      </c>
      <c r="H29" s="15">
        <f t="shared" si="24"/>
        <v>-5065.561522</v>
      </c>
      <c r="I29" s="15">
        <f t="shared" si="24"/>
        <v>-5318.839598</v>
      </c>
      <c r="J29" s="15">
        <f t="shared" si="24"/>
        <v>-5584.781578</v>
      </c>
      <c r="K29" s="15">
        <f t="shared" si="24"/>
        <v>-5864.020656</v>
      </c>
      <c r="L29" s="15">
        <f t="shared" si="24"/>
        <v>-6157.221689</v>
      </c>
      <c r="M29" s="15">
        <f t="shared" si="24"/>
        <v>-6465.082774</v>
      </c>
      <c r="N29" s="15">
        <f t="shared" si="24"/>
        <v>-6788.336912</v>
      </c>
      <c r="O29" s="15">
        <f t="shared" si="24"/>
        <v>-7127.753758</v>
      </c>
      <c r="P29" s="15">
        <f t="shared" si="24"/>
        <v>-7484.141446</v>
      </c>
      <c r="Q29" s="15">
        <f t="shared" si="24"/>
        <v>-7858.348518</v>
      </c>
      <c r="R29" s="15">
        <f t="shared" si="24"/>
        <v>-8251.265944</v>
      </c>
      <c r="S29" s="15">
        <f t="shared" si="24"/>
        <v>-8663.829241</v>
      </c>
      <c r="T29" s="15">
        <f t="shared" si="24"/>
        <v>-9097.020703</v>
      </c>
      <c r="U29" s="15">
        <f t="shared" si="24"/>
        <v>-9551.871739</v>
      </c>
      <c r="V29" s="15">
        <f t="shared" si="24"/>
        <v>-10029.46533</v>
      </c>
      <c r="W29" s="15">
        <f t="shared" si="24"/>
        <v>-10530.93859</v>
      </c>
      <c r="X29" s="15">
        <f t="shared" si="24"/>
        <v>-11057.48552</v>
      </c>
      <c r="Y29" s="15">
        <f t="shared" si="24"/>
        <v>-11610.3598</v>
      </c>
      <c r="Z29" s="15">
        <f t="shared" si="24"/>
        <v>-12190.87779</v>
      </c>
      <c r="AA29" s="16">
        <f t="shared" si="21"/>
        <v>-63175.07516</v>
      </c>
      <c r="AB29" s="16">
        <f t="shared" si="23"/>
        <v>-113453.3584</v>
      </c>
    </row>
    <row r="30" ht="12.75" customHeight="1">
      <c r="A30" s="37" t="s">
        <v>26</v>
      </c>
      <c r="B30" s="38">
        <v>0.06</v>
      </c>
      <c r="C30" s="15">
        <f t="shared" ref="C30:Z30" si="25">-$B$30*C2</f>
        <v>-23814</v>
      </c>
      <c r="D30" s="15">
        <f t="shared" si="25"/>
        <v>-25004.7</v>
      </c>
      <c r="E30" s="15">
        <f t="shared" si="25"/>
        <v>-26254.935</v>
      </c>
      <c r="F30" s="15">
        <f t="shared" si="25"/>
        <v>-27567.68175</v>
      </c>
      <c r="G30" s="15">
        <f t="shared" si="25"/>
        <v>-28946.06584</v>
      </c>
      <c r="H30" s="15">
        <f t="shared" si="25"/>
        <v>-30393.36913</v>
      </c>
      <c r="I30" s="15">
        <f t="shared" si="25"/>
        <v>-31913.03759</v>
      </c>
      <c r="J30" s="15">
        <f t="shared" si="25"/>
        <v>-33508.68947</v>
      </c>
      <c r="K30" s="15">
        <f t="shared" si="25"/>
        <v>-35184.12394</v>
      </c>
      <c r="L30" s="15">
        <f t="shared" si="25"/>
        <v>-36943.33014</v>
      </c>
      <c r="M30" s="15">
        <f t="shared" si="25"/>
        <v>-38790.49664</v>
      </c>
      <c r="N30" s="15">
        <f t="shared" si="25"/>
        <v>-40730.02147</v>
      </c>
      <c r="O30" s="15">
        <f t="shared" si="25"/>
        <v>-42766.52255</v>
      </c>
      <c r="P30" s="15">
        <f t="shared" si="25"/>
        <v>-44904.84868</v>
      </c>
      <c r="Q30" s="15">
        <f t="shared" si="25"/>
        <v>-47150.09111</v>
      </c>
      <c r="R30" s="15">
        <f t="shared" si="25"/>
        <v>-49507.59566</v>
      </c>
      <c r="S30" s="15">
        <f t="shared" si="25"/>
        <v>-51982.97545</v>
      </c>
      <c r="T30" s="15">
        <f t="shared" si="25"/>
        <v>-54582.12422</v>
      </c>
      <c r="U30" s="15">
        <f t="shared" si="25"/>
        <v>-57311.23043</v>
      </c>
      <c r="V30" s="15">
        <f t="shared" si="25"/>
        <v>-60176.79195</v>
      </c>
      <c r="W30" s="15">
        <f t="shared" si="25"/>
        <v>-63185.63155</v>
      </c>
      <c r="X30" s="15">
        <f t="shared" si="25"/>
        <v>-66344.91313</v>
      </c>
      <c r="Y30" s="15">
        <f t="shared" si="25"/>
        <v>-69662.15878</v>
      </c>
      <c r="Z30" s="15">
        <f t="shared" si="25"/>
        <v>-73145.26672</v>
      </c>
      <c r="AA30" s="16">
        <f t="shared" si="21"/>
        <v>-379050.451</v>
      </c>
      <c r="AB30" s="16">
        <f t="shared" si="23"/>
        <v>-680720.1502</v>
      </c>
    </row>
    <row r="31" ht="12.75" customHeight="1">
      <c r="A31" s="37" t="s">
        <v>27</v>
      </c>
      <c r="B31" s="38">
        <v>0.05</v>
      </c>
      <c r="C31" s="15">
        <f t="shared" ref="C31:Z31" si="26">-$B$31*C2</f>
        <v>-19845</v>
      </c>
      <c r="D31" s="15">
        <f t="shared" si="26"/>
        <v>-20837.25</v>
      </c>
      <c r="E31" s="15">
        <f t="shared" si="26"/>
        <v>-21879.1125</v>
      </c>
      <c r="F31" s="15">
        <f t="shared" si="26"/>
        <v>-22973.06813</v>
      </c>
      <c r="G31" s="15">
        <f t="shared" si="26"/>
        <v>-24121.72153</v>
      </c>
      <c r="H31" s="15">
        <f t="shared" si="26"/>
        <v>-25327.80761</v>
      </c>
      <c r="I31" s="15">
        <f t="shared" si="26"/>
        <v>-26594.19799</v>
      </c>
      <c r="J31" s="15">
        <f t="shared" si="26"/>
        <v>-27923.90789</v>
      </c>
      <c r="K31" s="15">
        <f t="shared" si="26"/>
        <v>-29320.10328</v>
      </c>
      <c r="L31" s="15">
        <f t="shared" si="26"/>
        <v>-30786.10845</v>
      </c>
      <c r="M31" s="15">
        <f t="shared" si="26"/>
        <v>-32325.41387</v>
      </c>
      <c r="N31" s="15">
        <f t="shared" si="26"/>
        <v>-33941.68456</v>
      </c>
      <c r="O31" s="15">
        <f t="shared" si="26"/>
        <v>-35638.76879</v>
      </c>
      <c r="P31" s="15">
        <f t="shared" si="26"/>
        <v>-37420.70723</v>
      </c>
      <c r="Q31" s="15">
        <f t="shared" si="26"/>
        <v>-39291.74259</v>
      </c>
      <c r="R31" s="15">
        <f t="shared" si="26"/>
        <v>-41256.32972</v>
      </c>
      <c r="S31" s="15">
        <f t="shared" si="26"/>
        <v>-43319.14621</v>
      </c>
      <c r="T31" s="15">
        <f t="shared" si="26"/>
        <v>-45485.10352</v>
      </c>
      <c r="U31" s="15">
        <f t="shared" si="26"/>
        <v>-47759.35869</v>
      </c>
      <c r="V31" s="15">
        <f t="shared" si="26"/>
        <v>-50147.32663</v>
      </c>
      <c r="W31" s="15">
        <f t="shared" si="26"/>
        <v>-52654.69296</v>
      </c>
      <c r="X31" s="15">
        <f t="shared" si="26"/>
        <v>-55287.42761</v>
      </c>
      <c r="Y31" s="15">
        <f t="shared" si="26"/>
        <v>-58051.79899</v>
      </c>
      <c r="Z31" s="15">
        <f t="shared" si="26"/>
        <v>-60954.38894</v>
      </c>
      <c r="AA31" s="16">
        <f t="shared" si="21"/>
        <v>-315875.3758</v>
      </c>
      <c r="AB31" s="16">
        <f t="shared" si="23"/>
        <v>-567266.7919</v>
      </c>
    </row>
    <row r="32" ht="12.75" customHeight="1">
      <c r="A32" s="30" t="s">
        <v>14</v>
      </c>
      <c r="B32" s="39"/>
      <c r="C32" s="15">
        <f t="shared" ref="C32:Z32" si="27">C14</f>
        <v>-63000</v>
      </c>
      <c r="D32" s="15">
        <f t="shared" si="27"/>
        <v>-66150</v>
      </c>
      <c r="E32" s="15">
        <f t="shared" si="27"/>
        <v>-69457.5</v>
      </c>
      <c r="F32" s="15">
        <f t="shared" si="27"/>
        <v>-72930.375</v>
      </c>
      <c r="G32" s="15">
        <f t="shared" si="27"/>
        <v>-76576.89375</v>
      </c>
      <c r="H32" s="15">
        <f t="shared" si="27"/>
        <v>-80405.73844</v>
      </c>
      <c r="I32" s="15">
        <f t="shared" si="27"/>
        <v>-84426.02536</v>
      </c>
      <c r="J32" s="15">
        <f t="shared" si="27"/>
        <v>-88647.32663</v>
      </c>
      <c r="K32" s="15">
        <f t="shared" si="27"/>
        <v>-93079.69296</v>
      </c>
      <c r="L32" s="15">
        <f t="shared" si="27"/>
        <v>-97733.67761</v>
      </c>
      <c r="M32" s="15">
        <f t="shared" si="27"/>
        <v>-102620.3615</v>
      </c>
      <c r="N32" s="15">
        <f t="shared" si="27"/>
        <v>-107751.3796</v>
      </c>
      <c r="O32" s="15">
        <f t="shared" si="27"/>
        <v>-113138.9485</v>
      </c>
      <c r="P32" s="15">
        <f t="shared" si="27"/>
        <v>-118795.896</v>
      </c>
      <c r="Q32" s="15">
        <f t="shared" si="27"/>
        <v>-124735.6908</v>
      </c>
      <c r="R32" s="15">
        <f t="shared" si="27"/>
        <v>-130972.4753</v>
      </c>
      <c r="S32" s="15">
        <f t="shared" si="27"/>
        <v>-137521.0991</v>
      </c>
      <c r="T32" s="15">
        <f t="shared" si="27"/>
        <v>-144397.154</v>
      </c>
      <c r="U32" s="15">
        <f t="shared" si="27"/>
        <v>-151617.0117</v>
      </c>
      <c r="V32" s="15">
        <f t="shared" si="27"/>
        <v>-159197.8623</v>
      </c>
      <c r="W32" s="15">
        <f t="shared" si="27"/>
        <v>-167157.7554</v>
      </c>
      <c r="X32" s="15">
        <f t="shared" si="27"/>
        <v>-175515.6432</v>
      </c>
      <c r="Y32" s="15">
        <f t="shared" si="27"/>
        <v>-184291.4254</v>
      </c>
      <c r="Z32" s="15">
        <f t="shared" si="27"/>
        <v>-193505.9966</v>
      </c>
      <c r="AA32" s="16">
        <f t="shared" si="21"/>
        <v>-1002778.971</v>
      </c>
      <c r="AB32" s="16">
        <f t="shared" si="23"/>
        <v>-1800846.958</v>
      </c>
    </row>
    <row r="33" ht="12.75" customHeight="1">
      <c r="A33" s="37" t="s">
        <v>28</v>
      </c>
      <c r="B33" s="29">
        <v>-3000.0</v>
      </c>
      <c r="C33" s="15">
        <f t="shared" ref="C33:Z33" si="28">$B$33</f>
        <v>-3000</v>
      </c>
      <c r="D33" s="15">
        <f t="shared" si="28"/>
        <v>-3000</v>
      </c>
      <c r="E33" s="15">
        <f t="shared" si="28"/>
        <v>-3000</v>
      </c>
      <c r="F33" s="15">
        <f t="shared" si="28"/>
        <v>-3000</v>
      </c>
      <c r="G33" s="15">
        <f t="shared" si="28"/>
        <v>-3000</v>
      </c>
      <c r="H33" s="15">
        <f t="shared" si="28"/>
        <v>-3000</v>
      </c>
      <c r="I33" s="15">
        <f t="shared" si="28"/>
        <v>-3000</v>
      </c>
      <c r="J33" s="15">
        <f t="shared" si="28"/>
        <v>-3000</v>
      </c>
      <c r="K33" s="15">
        <f t="shared" si="28"/>
        <v>-3000</v>
      </c>
      <c r="L33" s="15">
        <f t="shared" si="28"/>
        <v>-3000</v>
      </c>
      <c r="M33" s="15">
        <f t="shared" si="28"/>
        <v>-3000</v>
      </c>
      <c r="N33" s="15">
        <f t="shared" si="28"/>
        <v>-3000</v>
      </c>
      <c r="O33" s="15">
        <f t="shared" si="28"/>
        <v>-3000</v>
      </c>
      <c r="P33" s="15">
        <f t="shared" si="28"/>
        <v>-3000</v>
      </c>
      <c r="Q33" s="15">
        <f t="shared" si="28"/>
        <v>-3000</v>
      </c>
      <c r="R33" s="15">
        <f t="shared" si="28"/>
        <v>-3000</v>
      </c>
      <c r="S33" s="15">
        <f t="shared" si="28"/>
        <v>-3000</v>
      </c>
      <c r="T33" s="15">
        <f t="shared" si="28"/>
        <v>-3000</v>
      </c>
      <c r="U33" s="15">
        <f t="shared" si="28"/>
        <v>-3000</v>
      </c>
      <c r="V33" s="15">
        <f t="shared" si="28"/>
        <v>-3000</v>
      </c>
      <c r="W33" s="15">
        <f t="shared" si="28"/>
        <v>-3000</v>
      </c>
      <c r="X33" s="15">
        <f t="shared" si="28"/>
        <v>-3000</v>
      </c>
      <c r="Y33" s="15">
        <f t="shared" si="28"/>
        <v>-3000</v>
      </c>
      <c r="Z33" s="15">
        <f t="shared" si="28"/>
        <v>-3000</v>
      </c>
      <c r="AA33" s="16">
        <f t="shared" si="21"/>
        <v>-36000</v>
      </c>
      <c r="AB33" s="16">
        <f t="shared" si="23"/>
        <v>-36000</v>
      </c>
    </row>
    <row r="34" ht="12.75" customHeight="1">
      <c r="A34" s="37" t="s">
        <v>29</v>
      </c>
      <c r="B34" s="29">
        <v>-7900.0</v>
      </c>
      <c r="C34" s="15">
        <f t="shared" ref="C34:Z34" si="29">$B$34</f>
        <v>-7900</v>
      </c>
      <c r="D34" s="15">
        <f t="shared" si="29"/>
        <v>-7900</v>
      </c>
      <c r="E34" s="15">
        <f t="shared" si="29"/>
        <v>-7900</v>
      </c>
      <c r="F34" s="15">
        <f t="shared" si="29"/>
        <v>-7900</v>
      </c>
      <c r="G34" s="15">
        <f t="shared" si="29"/>
        <v>-7900</v>
      </c>
      <c r="H34" s="15">
        <f t="shared" si="29"/>
        <v>-7900</v>
      </c>
      <c r="I34" s="15">
        <f t="shared" si="29"/>
        <v>-7900</v>
      </c>
      <c r="J34" s="15">
        <f t="shared" si="29"/>
        <v>-7900</v>
      </c>
      <c r="K34" s="15">
        <f t="shared" si="29"/>
        <v>-7900</v>
      </c>
      <c r="L34" s="15">
        <f t="shared" si="29"/>
        <v>-7900</v>
      </c>
      <c r="M34" s="15">
        <f t="shared" si="29"/>
        <v>-7900</v>
      </c>
      <c r="N34" s="15">
        <f t="shared" si="29"/>
        <v>-7900</v>
      </c>
      <c r="O34" s="15">
        <f t="shared" si="29"/>
        <v>-7900</v>
      </c>
      <c r="P34" s="15">
        <f t="shared" si="29"/>
        <v>-7900</v>
      </c>
      <c r="Q34" s="15">
        <f t="shared" si="29"/>
        <v>-7900</v>
      </c>
      <c r="R34" s="15">
        <f t="shared" si="29"/>
        <v>-7900</v>
      </c>
      <c r="S34" s="15">
        <f t="shared" si="29"/>
        <v>-7900</v>
      </c>
      <c r="T34" s="15">
        <f t="shared" si="29"/>
        <v>-7900</v>
      </c>
      <c r="U34" s="15">
        <f t="shared" si="29"/>
        <v>-7900</v>
      </c>
      <c r="V34" s="15">
        <f t="shared" si="29"/>
        <v>-7900</v>
      </c>
      <c r="W34" s="15">
        <f t="shared" si="29"/>
        <v>-7900</v>
      </c>
      <c r="X34" s="15">
        <f t="shared" si="29"/>
        <v>-7900</v>
      </c>
      <c r="Y34" s="15">
        <f t="shared" si="29"/>
        <v>-7900</v>
      </c>
      <c r="Z34" s="15">
        <f t="shared" si="29"/>
        <v>-7900</v>
      </c>
      <c r="AA34" s="16">
        <f t="shared" si="21"/>
        <v>-94800</v>
      </c>
      <c r="AB34" s="16">
        <f t="shared" si="23"/>
        <v>-94800</v>
      </c>
    </row>
    <row r="35" ht="12.75" customHeight="1">
      <c r="A35" s="37" t="s">
        <v>19</v>
      </c>
      <c r="B35" s="40">
        <v>-15000.0</v>
      </c>
      <c r="C35" s="15">
        <f t="shared" ref="C35:Z35" si="30">$B$35</f>
        <v>-15000</v>
      </c>
      <c r="D35" s="15">
        <f t="shared" si="30"/>
        <v>-15000</v>
      </c>
      <c r="E35" s="15">
        <f t="shared" si="30"/>
        <v>-15000</v>
      </c>
      <c r="F35" s="15">
        <f t="shared" si="30"/>
        <v>-15000</v>
      </c>
      <c r="G35" s="15">
        <f t="shared" si="30"/>
        <v>-15000</v>
      </c>
      <c r="H35" s="15">
        <f t="shared" si="30"/>
        <v>-15000</v>
      </c>
      <c r="I35" s="15">
        <f t="shared" si="30"/>
        <v>-15000</v>
      </c>
      <c r="J35" s="15">
        <f t="shared" si="30"/>
        <v>-15000</v>
      </c>
      <c r="K35" s="15">
        <f t="shared" si="30"/>
        <v>-15000</v>
      </c>
      <c r="L35" s="15">
        <f t="shared" si="30"/>
        <v>-15000</v>
      </c>
      <c r="M35" s="15">
        <f t="shared" si="30"/>
        <v>-15000</v>
      </c>
      <c r="N35" s="15">
        <f t="shared" si="30"/>
        <v>-15000</v>
      </c>
      <c r="O35" s="15">
        <f t="shared" si="30"/>
        <v>-15000</v>
      </c>
      <c r="P35" s="15">
        <f t="shared" si="30"/>
        <v>-15000</v>
      </c>
      <c r="Q35" s="15">
        <f t="shared" si="30"/>
        <v>-15000</v>
      </c>
      <c r="R35" s="15">
        <f t="shared" si="30"/>
        <v>-15000</v>
      </c>
      <c r="S35" s="15">
        <f t="shared" si="30"/>
        <v>-15000</v>
      </c>
      <c r="T35" s="15">
        <f t="shared" si="30"/>
        <v>-15000</v>
      </c>
      <c r="U35" s="15">
        <f t="shared" si="30"/>
        <v>-15000</v>
      </c>
      <c r="V35" s="15">
        <f t="shared" si="30"/>
        <v>-15000</v>
      </c>
      <c r="W35" s="15">
        <f t="shared" si="30"/>
        <v>-15000</v>
      </c>
      <c r="X35" s="15">
        <f t="shared" si="30"/>
        <v>-15000</v>
      </c>
      <c r="Y35" s="15">
        <f t="shared" si="30"/>
        <v>-15000</v>
      </c>
      <c r="Z35" s="15">
        <f t="shared" si="30"/>
        <v>-15000</v>
      </c>
      <c r="AA35" s="16">
        <f t="shared" si="21"/>
        <v>-180000</v>
      </c>
      <c r="AB35" s="16">
        <f t="shared" si="23"/>
        <v>-180000</v>
      </c>
    </row>
    <row r="36" ht="12.75" customHeight="1">
      <c r="A36" s="37"/>
      <c r="B36" s="41"/>
      <c r="C36" s="15" t="str">
        <f t="shared" ref="C36:N36" si="31">$B$36</f>
        <v/>
      </c>
      <c r="D36" s="15" t="str">
        <f t="shared" si="31"/>
        <v/>
      </c>
      <c r="E36" s="15" t="str">
        <f t="shared" si="31"/>
        <v/>
      </c>
      <c r="F36" s="15" t="str">
        <f t="shared" si="31"/>
        <v/>
      </c>
      <c r="G36" s="15" t="str">
        <f t="shared" si="31"/>
        <v/>
      </c>
      <c r="H36" s="15" t="str">
        <f t="shared" si="31"/>
        <v/>
      </c>
      <c r="I36" s="15" t="str">
        <f t="shared" si="31"/>
        <v/>
      </c>
      <c r="J36" s="15" t="str">
        <f t="shared" si="31"/>
        <v/>
      </c>
      <c r="K36" s="15" t="str">
        <f t="shared" si="31"/>
        <v/>
      </c>
      <c r="L36" s="15" t="str">
        <f t="shared" si="31"/>
        <v/>
      </c>
      <c r="M36" s="15" t="str">
        <f t="shared" si="31"/>
        <v/>
      </c>
      <c r="N36" s="15" t="str">
        <f t="shared" si="31"/>
        <v/>
      </c>
      <c r="AA36" s="36"/>
      <c r="AB36" s="36"/>
    </row>
    <row r="37" ht="12.75" customHeight="1">
      <c r="A37" s="30"/>
      <c r="B37" s="31"/>
      <c r="C37" s="32"/>
      <c r="AA37" s="36"/>
      <c r="AB37" s="36"/>
    </row>
    <row r="38" ht="28.5" customHeight="1">
      <c r="A38" s="26" t="s">
        <v>30</v>
      </c>
      <c r="B38" s="27"/>
      <c r="C38" s="28">
        <f t="shared" ref="C38:Z38" si="32">C23+C26</f>
        <v>46581</v>
      </c>
      <c r="D38" s="28">
        <f t="shared" si="32"/>
        <v>53155.05</v>
      </c>
      <c r="E38" s="28">
        <f t="shared" si="32"/>
        <v>60057.8025</v>
      </c>
      <c r="F38" s="28">
        <f t="shared" si="32"/>
        <v>67305.69263</v>
      </c>
      <c r="G38" s="28">
        <f t="shared" si="32"/>
        <v>74915.97726</v>
      </c>
      <c r="H38" s="28">
        <f t="shared" si="32"/>
        <v>82906.77612</v>
      </c>
      <c r="I38" s="28">
        <f t="shared" si="32"/>
        <v>91297.11493</v>
      </c>
      <c r="J38" s="28">
        <f t="shared" si="32"/>
        <v>100106.9707</v>
      </c>
      <c r="K38" s="28">
        <f t="shared" si="32"/>
        <v>109357.3192</v>
      </c>
      <c r="L38" s="28">
        <f t="shared" si="32"/>
        <v>119070.1852</v>
      </c>
      <c r="M38" s="28">
        <f t="shared" si="32"/>
        <v>129268.6944</v>
      </c>
      <c r="N38" s="28">
        <f t="shared" si="32"/>
        <v>139977.1291</v>
      </c>
      <c r="O38" s="28">
        <f t="shared" si="32"/>
        <v>151220.9856</v>
      </c>
      <c r="P38" s="28">
        <f t="shared" si="32"/>
        <v>163027.0349</v>
      </c>
      <c r="Q38" s="28">
        <f t="shared" si="32"/>
        <v>175423.3866</v>
      </c>
      <c r="R38" s="28">
        <f t="shared" si="32"/>
        <v>188439.556</v>
      </c>
      <c r="S38" s="28">
        <f t="shared" si="32"/>
        <v>202106.5338</v>
      </c>
      <c r="T38" s="28">
        <f t="shared" si="32"/>
        <v>216456.8604</v>
      </c>
      <c r="U38" s="28">
        <f t="shared" si="32"/>
        <v>231524.7035</v>
      </c>
      <c r="V38" s="28">
        <f t="shared" si="32"/>
        <v>247345.9386</v>
      </c>
      <c r="W38" s="28">
        <f t="shared" si="32"/>
        <v>263958.2356</v>
      </c>
      <c r="X38" s="28">
        <f t="shared" si="32"/>
        <v>281401.1473</v>
      </c>
      <c r="Y38" s="28">
        <f t="shared" si="32"/>
        <v>299716.2047</v>
      </c>
      <c r="Z38" s="28">
        <f t="shared" si="32"/>
        <v>318947.015</v>
      </c>
      <c r="AA38" s="8">
        <f>Sum(C38:N38)</f>
        <v>1073999.712</v>
      </c>
      <c r="AB38" s="8">
        <f>Sum(O38:Z38)</f>
        <v>2739567.602</v>
      </c>
    </row>
    <row r="39" ht="12.75" customHeight="1">
      <c r="A39" s="34" t="s">
        <v>31</v>
      </c>
      <c r="C39" s="35">
        <f t="shared" ref="C39:Z39" si="33">C38/C2</f>
        <v>0.1173620559</v>
      </c>
      <c r="D39" s="35">
        <f t="shared" si="33"/>
        <v>0.1275481409</v>
      </c>
      <c r="E39" s="35">
        <f t="shared" si="33"/>
        <v>0.1372491743</v>
      </c>
      <c r="F39" s="35">
        <f t="shared" si="33"/>
        <v>0.1464882537</v>
      </c>
      <c r="G39" s="35">
        <f t="shared" si="33"/>
        <v>0.1552873769</v>
      </c>
      <c r="H39" s="35">
        <f t="shared" si="33"/>
        <v>0.1636674942</v>
      </c>
      <c r="I39" s="35">
        <f t="shared" si="33"/>
        <v>0.1716485584</v>
      </c>
      <c r="J39" s="35">
        <f t="shared" si="33"/>
        <v>0.1792495719</v>
      </c>
      <c r="K39" s="35">
        <f t="shared" si="33"/>
        <v>0.1864886323</v>
      </c>
      <c r="L39" s="35">
        <f t="shared" si="33"/>
        <v>0.1933829756</v>
      </c>
      <c r="M39" s="35">
        <f t="shared" si="33"/>
        <v>0.1999490168</v>
      </c>
      <c r="N39" s="35">
        <f t="shared" si="33"/>
        <v>0.2062023894</v>
      </c>
      <c r="O39" s="35">
        <f t="shared" si="33"/>
        <v>0.2121579824</v>
      </c>
      <c r="P39" s="35">
        <f t="shared" si="33"/>
        <v>0.2178299756</v>
      </c>
      <c r="Q39" s="35">
        <f t="shared" si="33"/>
        <v>0.223231874</v>
      </c>
      <c r="R39" s="35">
        <f t="shared" si="33"/>
        <v>0.2283765391</v>
      </c>
      <c r="S39" s="35">
        <f t="shared" si="33"/>
        <v>0.2332762202</v>
      </c>
      <c r="T39" s="35">
        <f t="shared" si="33"/>
        <v>0.2379425831</v>
      </c>
      <c r="U39" s="35">
        <f t="shared" si="33"/>
        <v>0.2423867382</v>
      </c>
      <c r="V39" s="35">
        <f t="shared" si="33"/>
        <v>0.2466192669</v>
      </c>
      <c r="W39" s="35">
        <f t="shared" si="33"/>
        <v>0.2506502467</v>
      </c>
      <c r="X39" s="35">
        <f t="shared" si="33"/>
        <v>0.254489275</v>
      </c>
      <c r="Y39" s="35">
        <f t="shared" si="33"/>
        <v>0.2581454924</v>
      </c>
      <c r="Z39" s="35">
        <f t="shared" si="33"/>
        <v>0.2616276043</v>
      </c>
      <c r="AA39" s="35">
        <f>AVERAGE(C39:N39)</f>
        <v>0.16537697</v>
      </c>
      <c r="AB39" s="35">
        <f>AVERAGE(O39:Z39)</f>
        <v>0.2388944832</v>
      </c>
    </row>
    <row r="40" ht="12.75" customHeight="1">
      <c r="A40" s="37" t="s">
        <v>32</v>
      </c>
      <c r="B40" s="18">
        <v>0.05</v>
      </c>
      <c r="C40" s="15">
        <f t="shared" ref="C40:Z40" si="34">-$B$40*C2</f>
        <v>-19845</v>
      </c>
      <c r="D40" s="15">
        <f t="shared" si="34"/>
        <v>-20837.25</v>
      </c>
      <c r="E40" s="15">
        <f t="shared" si="34"/>
        <v>-21879.1125</v>
      </c>
      <c r="F40" s="15">
        <f t="shared" si="34"/>
        <v>-22973.06813</v>
      </c>
      <c r="G40" s="15">
        <f t="shared" si="34"/>
        <v>-24121.72153</v>
      </c>
      <c r="H40" s="15">
        <f t="shared" si="34"/>
        <v>-25327.80761</v>
      </c>
      <c r="I40" s="15">
        <f t="shared" si="34"/>
        <v>-26594.19799</v>
      </c>
      <c r="J40" s="15">
        <f t="shared" si="34"/>
        <v>-27923.90789</v>
      </c>
      <c r="K40" s="15">
        <f t="shared" si="34"/>
        <v>-29320.10328</v>
      </c>
      <c r="L40" s="15">
        <f t="shared" si="34"/>
        <v>-30786.10845</v>
      </c>
      <c r="M40" s="15">
        <f t="shared" si="34"/>
        <v>-32325.41387</v>
      </c>
      <c r="N40" s="15">
        <f t="shared" si="34"/>
        <v>-33941.68456</v>
      </c>
      <c r="O40" s="15">
        <f t="shared" si="34"/>
        <v>-35638.76879</v>
      </c>
      <c r="P40" s="15">
        <f t="shared" si="34"/>
        <v>-37420.70723</v>
      </c>
      <c r="Q40" s="15">
        <f t="shared" si="34"/>
        <v>-39291.74259</v>
      </c>
      <c r="R40" s="15">
        <f t="shared" si="34"/>
        <v>-41256.32972</v>
      </c>
      <c r="S40" s="15">
        <f t="shared" si="34"/>
        <v>-43319.14621</v>
      </c>
      <c r="T40" s="15">
        <f t="shared" si="34"/>
        <v>-45485.10352</v>
      </c>
      <c r="U40" s="15">
        <f t="shared" si="34"/>
        <v>-47759.35869</v>
      </c>
      <c r="V40" s="15">
        <f t="shared" si="34"/>
        <v>-50147.32663</v>
      </c>
      <c r="W40" s="15">
        <f t="shared" si="34"/>
        <v>-52654.69296</v>
      </c>
      <c r="X40" s="15">
        <f t="shared" si="34"/>
        <v>-55287.42761</v>
      </c>
      <c r="Y40" s="15">
        <f t="shared" si="34"/>
        <v>-58051.79899</v>
      </c>
      <c r="Z40" s="15">
        <f t="shared" si="34"/>
        <v>-60954.38894</v>
      </c>
      <c r="AA40" s="16">
        <f t="shared" ref="AA40:AA42" si="36">Sum(C40:N40)</f>
        <v>-315875.3758</v>
      </c>
      <c r="AB40" s="16">
        <f t="shared" ref="AB40:AB41" si="37">SUM(O40:Z40)</f>
        <v>-567266.7919</v>
      </c>
    </row>
    <row r="41" ht="12.75" customHeight="1">
      <c r="A41" s="37" t="s">
        <v>33</v>
      </c>
      <c r="B41" s="29">
        <v>-9500.0</v>
      </c>
      <c r="C41" s="15">
        <f t="shared" ref="C41:Z41" si="35">$B$41</f>
        <v>-9500</v>
      </c>
      <c r="D41" s="15">
        <f t="shared" si="35"/>
        <v>-9500</v>
      </c>
      <c r="E41" s="15">
        <f t="shared" si="35"/>
        <v>-9500</v>
      </c>
      <c r="F41" s="15">
        <f t="shared" si="35"/>
        <v>-9500</v>
      </c>
      <c r="G41" s="15">
        <f t="shared" si="35"/>
        <v>-9500</v>
      </c>
      <c r="H41" s="15">
        <f t="shared" si="35"/>
        <v>-9500</v>
      </c>
      <c r="I41" s="15">
        <f t="shared" si="35"/>
        <v>-9500</v>
      </c>
      <c r="J41" s="15">
        <f t="shared" si="35"/>
        <v>-9500</v>
      </c>
      <c r="K41" s="15">
        <f t="shared" si="35"/>
        <v>-9500</v>
      </c>
      <c r="L41" s="15">
        <f t="shared" si="35"/>
        <v>-9500</v>
      </c>
      <c r="M41" s="15">
        <f t="shared" si="35"/>
        <v>-9500</v>
      </c>
      <c r="N41" s="15">
        <f t="shared" si="35"/>
        <v>-9500</v>
      </c>
      <c r="O41" s="15">
        <f t="shared" si="35"/>
        <v>-9500</v>
      </c>
      <c r="P41" s="15">
        <f t="shared" si="35"/>
        <v>-9500</v>
      </c>
      <c r="Q41" s="15">
        <f t="shared" si="35"/>
        <v>-9500</v>
      </c>
      <c r="R41" s="15">
        <f t="shared" si="35"/>
        <v>-9500</v>
      </c>
      <c r="S41" s="15">
        <f t="shared" si="35"/>
        <v>-9500</v>
      </c>
      <c r="T41" s="15">
        <f t="shared" si="35"/>
        <v>-9500</v>
      </c>
      <c r="U41" s="15">
        <f t="shared" si="35"/>
        <v>-9500</v>
      </c>
      <c r="V41" s="15">
        <f t="shared" si="35"/>
        <v>-9500</v>
      </c>
      <c r="W41" s="15">
        <f t="shared" si="35"/>
        <v>-9500</v>
      </c>
      <c r="X41" s="15">
        <f t="shared" si="35"/>
        <v>-9500</v>
      </c>
      <c r="Y41" s="15">
        <f t="shared" si="35"/>
        <v>-9500</v>
      </c>
      <c r="Z41" s="15">
        <f t="shared" si="35"/>
        <v>-9500</v>
      </c>
      <c r="AA41" s="16">
        <f t="shared" si="36"/>
        <v>-114000</v>
      </c>
      <c r="AB41" s="16">
        <f t="shared" si="37"/>
        <v>-114000</v>
      </c>
    </row>
    <row r="42" ht="12.75" customHeight="1">
      <c r="A42" s="37" t="s">
        <v>34</v>
      </c>
      <c r="B42" s="29">
        <v>0.0</v>
      </c>
      <c r="C42" s="15">
        <f t="shared" ref="C42:Z42" si="38">$B$42</f>
        <v>0</v>
      </c>
      <c r="D42" s="15">
        <f t="shared" si="38"/>
        <v>0</v>
      </c>
      <c r="E42" s="15">
        <f t="shared" si="38"/>
        <v>0</v>
      </c>
      <c r="F42" s="15">
        <f t="shared" si="38"/>
        <v>0</v>
      </c>
      <c r="G42" s="15">
        <f t="shared" si="38"/>
        <v>0</v>
      </c>
      <c r="H42" s="15">
        <f t="shared" si="38"/>
        <v>0</v>
      </c>
      <c r="I42" s="15">
        <f t="shared" si="38"/>
        <v>0</v>
      </c>
      <c r="J42" s="15">
        <f t="shared" si="38"/>
        <v>0</v>
      </c>
      <c r="K42" s="15">
        <f t="shared" si="38"/>
        <v>0</v>
      </c>
      <c r="L42" s="15">
        <f t="shared" si="38"/>
        <v>0</v>
      </c>
      <c r="M42" s="15">
        <f t="shared" si="38"/>
        <v>0</v>
      </c>
      <c r="N42" s="15">
        <f t="shared" si="38"/>
        <v>0</v>
      </c>
      <c r="O42" s="15">
        <f t="shared" si="38"/>
        <v>0</v>
      </c>
      <c r="P42" s="15">
        <f t="shared" si="38"/>
        <v>0</v>
      </c>
      <c r="Q42" s="15">
        <f t="shared" si="38"/>
        <v>0</v>
      </c>
      <c r="R42" s="15">
        <f t="shared" si="38"/>
        <v>0</v>
      </c>
      <c r="S42" s="15">
        <f t="shared" si="38"/>
        <v>0</v>
      </c>
      <c r="T42" s="15">
        <f t="shared" si="38"/>
        <v>0</v>
      </c>
      <c r="U42" s="15">
        <f t="shared" si="38"/>
        <v>0</v>
      </c>
      <c r="V42" s="15">
        <f t="shared" si="38"/>
        <v>0</v>
      </c>
      <c r="W42" s="15">
        <f t="shared" si="38"/>
        <v>0</v>
      </c>
      <c r="X42" s="15">
        <f t="shared" si="38"/>
        <v>0</v>
      </c>
      <c r="Y42" s="15">
        <f t="shared" si="38"/>
        <v>0</v>
      </c>
      <c r="Z42" s="15">
        <f t="shared" si="38"/>
        <v>0</v>
      </c>
      <c r="AA42" s="16">
        <f t="shared" si="36"/>
        <v>0</v>
      </c>
      <c r="AB42" s="16">
        <f>SUM(B42:Z42)</f>
        <v>0</v>
      </c>
    </row>
    <row r="43" ht="12.75" customHeight="1">
      <c r="A43" s="30"/>
      <c r="B43" s="31"/>
      <c r="C43" s="32"/>
      <c r="AA43" s="36"/>
      <c r="AB43" s="36"/>
    </row>
    <row r="44" ht="28.5" customHeight="1">
      <c r="A44" s="26" t="s">
        <v>35</v>
      </c>
      <c r="B44" s="27"/>
      <c r="C44" s="28">
        <f t="shared" ref="C44:Z44" si="39">C38+C40+C41+C42</f>
        <v>17236</v>
      </c>
      <c r="D44" s="28">
        <f t="shared" si="39"/>
        <v>22817.8</v>
      </c>
      <c r="E44" s="28">
        <f t="shared" si="39"/>
        <v>28678.69</v>
      </c>
      <c r="F44" s="28">
        <f t="shared" si="39"/>
        <v>34832.6245</v>
      </c>
      <c r="G44" s="28">
        <f t="shared" si="39"/>
        <v>41294.25573</v>
      </c>
      <c r="H44" s="28">
        <f t="shared" si="39"/>
        <v>48078.96851</v>
      </c>
      <c r="I44" s="28">
        <f t="shared" si="39"/>
        <v>55202.91694</v>
      </c>
      <c r="J44" s="28">
        <f t="shared" si="39"/>
        <v>62683.06278</v>
      </c>
      <c r="K44" s="28">
        <f t="shared" si="39"/>
        <v>70537.21592</v>
      </c>
      <c r="L44" s="28">
        <f t="shared" si="39"/>
        <v>78784.07672</v>
      </c>
      <c r="M44" s="28">
        <f t="shared" si="39"/>
        <v>87443.28055</v>
      </c>
      <c r="N44" s="28">
        <f t="shared" si="39"/>
        <v>96535.44458</v>
      </c>
      <c r="O44" s="28">
        <f t="shared" si="39"/>
        <v>106082.2168</v>
      </c>
      <c r="P44" s="28">
        <f t="shared" si="39"/>
        <v>116106.3277</v>
      </c>
      <c r="Q44" s="28">
        <f t="shared" si="39"/>
        <v>126631.644</v>
      </c>
      <c r="R44" s="28">
        <f t="shared" si="39"/>
        <v>137683.2262</v>
      </c>
      <c r="S44" s="28">
        <f t="shared" si="39"/>
        <v>149287.3875</v>
      </c>
      <c r="T44" s="28">
        <f t="shared" si="39"/>
        <v>161471.7569</v>
      </c>
      <c r="U44" s="28">
        <f t="shared" si="39"/>
        <v>174265.3448</v>
      </c>
      <c r="V44" s="28">
        <f t="shared" si="39"/>
        <v>187698.612</v>
      </c>
      <c r="W44" s="28">
        <f t="shared" si="39"/>
        <v>201803.5426</v>
      </c>
      <c r="X44" s="28">
        <f t="shared" si="39"/>
        <v>216613.7197</v>
      </c>
      <c r="Y44" s="28">
        <f t="shared" si="39"/>
        <v>232164.4057</v>
      </c>
      <c r="Z44" s="28">
        <f t="shared" si="39"/>
        <v>248492.626</v>
      </c>
      <c r="AA44" s="8">
        <f>Sum(C44:N44)</f>
        <v>644124.3362</v>
      </c>
      <c r="AB44" s="8">
        <f>Sum(O44:Z44)</f>
        <v>2058300.81</v>
      </c>
    </row>
    <row r="45" ht="12.75" customHeight="1">
      <c r="A45" s="34" t="s">
        <v>36</v>
      </c>
      <c r="C45" s="35">
        <f t="shared" ref="C45:Z45" si="40">C44/C2</f>
        <v>0.04342655581</v>
      </c>
      <c r="D45" s="35">
        <f t="shared" si="40"/>
        <v>0.05475242654</v>
      </c>
      <c r="E45" s="35">
        <f t="shared" si="40"/>
        <v>0.0655389701</v>
      </c>
      <c r="F45" s="35">
        <f t="shared" si="40"/>
        <v>0.07581186873</v>
      </c>
      <c r="G45" s="35">
        <f t="shared" si="40"/>
        <v>0.08559558171</v>
      </c>
      <c r="H45" s="35">
        <f t="shared" si="40"/>
        <v>0.09491340359</v>
      </c>
      <c r="I45" s="35">
        <f t="shared" si="40"/>
        <v>0.1037875197</v>
      </c>
      <c r="J45" s="35">
        <f t="shared" si="40"/>
        <v>0.1122390588</v>
      </c>
      <c r="K45" s="35">
        <f t="shared" si="40"/>
        <v>0.1202881437</v>
      </c>
      <c r="L45" s="35">
        <f t="shared" si="40"/>
        <v>0.1279539388</v>
      </c>
      <c r="M45" s="35">
        <f t="shared" si="40"/>
        <v>0.1352546961</v>
      </c>
      <c r="N45" s="35">
        <f t="shared" si="40"/>
        <v>0.1422077982</v>
      </c>
      <c r="O45" s="35">
        <f t="shared" si="40"/>
        <v>0.1488298003</v>
      </c>
      <c r="P45" s="35">
        <f t="shared" si="40"/>
        <v>0.1551364689</v>
      </c>
      <c r="Q45" s="35">
        <f t="shared" si="40"/>
        <v>0.1611428199</v>
      </c>
      <c r="R45" s="35">
        <f t="shared" si="40"/>
        <v>0.1668631543</v>
      </c>
      <c r="S45" s="35">
        <f t="shared" si="40"/>
        <v>0.1723110918</v>
      </c>
      <c r="T45" s="35">
        <f t="shared" si="40"/>
        <v>0.1774996037</v>
      </c>
      <c r="U45" s="35">
        <f t="shared" si="40"/>
        <v>0.1824410435</v>
      </c>
      <c r="V45" s="35">
        <f t="shared" si="40"/>
        <v>0.1871471768</v>
      </c>
      <c r="W45" s="35">
        <f t="shared" si="40"/>
        <v>0.1916292084</v>
      </c>
      <c r="X45" s="35">
        <f t="shared" si="40"/>
        <v>0.19589781</v>
      </c>
      <c r="Y45" s="35">
        <f t="shared" si="40"/>
        <v>0.1999631448</v>
      </c>
      <c r="Z45" s="35">
        <f t="shared" si="40"/>
        <v>0.2038348922</v>
      </c>
      <c r="AA45" s="35">
        <f>AVERAGE(C45:N45)</f>
        <v>0.09681416347</v>
      </c>
      <c r="AB45" s="35">
        <f>AVERAGE(O45:Z45)</f>
        <v>0.1785580179</v>
      </c>
    </row>
    <row r="46" ht="12.75" customHeight="1">
      <c r="A46" s="42" t="s">
        <v>37</v>
      </c>
      <c r="C46" s="15">
        <f t="shared" ref="C46:Z46" si="41">B46+C44</f>
        <v>17236</v>
      </c>
      <c r="D46" s="15">
        <f t="shared" si="41"/>
        <v>40053.8</v>
      </c>
      <c r="E46" s="15">
        <f t="shared" si="41"/>
        <v>68732.49</v>
      </c>
      <c r="F46" s="15">
        <f t="shared" si="41"/>
        <v>103565.1145</v>
      </c>
      <c r="G46" s="15">
        <f t="shared" si="41"/>
        <v>144859.3702</v>
      </c>
      <c r="H46" s="15">
        <f t="shared" si="41"/>
        <v>192938.3387</v>
      </c>
      <c r="I46" s="15">
        <f t="shared" si="41"/>
        <v>248141.2557</v>
      </c>
      <c r="J46" s="15">
        <f t="shared" si="41"/>
        <v>310824.3185</v>
      </c>
      <c r="K46" s="15">
        <f t="shared" si="41"/>
        <v>381361.5344</v>
      </c>
      <c r="L46" s="15">
        <f t="shared" si="41"/>
        <v>460145.6111</v>
      </c>
      <c r="M46" s="15">
        <f t="shared" si="41"/>
        <v>547588.8917</v>
      </c>
      <c r="N46" s="15">
        <f t="shared" si="41"/>
        <v>644124.3362</v>
      </c>
      <c r="O46" s="15">
        <f t="shared" si="41"/>
        <v>750206.553</v>
      </c>
      <c r="P46" s="15">
        <f t="shared" si="41"/>
        <v>866312.8807</v>
      </c>
      <c r="Q46" s="15">
        <f t="shared" si="41"/>
        <v>992944.5247</v>
      </c>
      <c r="R46" s="15">
        <f t="shared" si="41"/>
        <v>1130627.751</v>
      </c>
      <c r="S46" s="15">
        <f t="shared" si="41"/>
        <v>1279915.139</v>
      </c>
      <c r="T46" s="15">
        <f t="shared" si="41"/>
        <v>1441386.895</v>
      </c>
      <c r="U46" s="15">
        <f t="shared" si="41"/>
        <v>1615652.24</v>
      </c>
      <c r="V46" s="15">
        <f t="shared" si="41"/>
        <v>1803350.852</v>
      </c>
      <c r="W46" s="15">
        <f t="shared" si="41"/>
        <v>2005154.395</v>
      </c>
      <c r="X46" s="15">
        <f t="shared" si="41"/>
        <v>2221768.115</v>
      </c>
      <c r="Y46" s="15">
        <f t="shared" si="41"/>
        <v>2453932.52</v>
      </c>
      <c r="Z46" s="15">
        <f t="shared" si="41"/>
        <v>2702425.146</v>
      </c>
      <c r="AA46" s="16">
        <f>Sum(C46:N46)</f>
        <v>3159571.061</v>
      </c>
      <c r="AB46" s="16">
        <f>SUM(O46:Z46)</f>
        <v>19263677.01</v>
      </c>
    </row>
    <row r="47" ht="12.75" customHeight="1">
      <c r="A47" s="30"/>
      <c r="B47" s="31"/>
      <c r="C47" s="32"/>
      <c r="AA47" s="36"/>
      <c r="AB47" s="36"/>
    </row>
    <row r="48" ht="28.5" customHeight="1">
      <c r="A48" s="26" t="s">
        <v>38</v>
      </c>
      <c r="B48" s="27"/>
      <c r="C48" s="28">
        <f t="shared" ref="C48:Z48" si="42">C54+C60</f>
        <v>654885</v>
      </c>
      <c r="D48" s="28">
        <f t="shared" si="42"/>
        <v>687629.25</v>
      </c>
      <c r="E48" s="28">
        <f t="shared" si="42"/>
        <v>722010.7125</v>
      </c>
      <c r="F48" s="28">
        <f t="shared" si="42"/>
        <v>758111.2481</v>
      </c>
      <c r="G48" s="28">
        <f t="shared" si="42"/>
        <v>796016.8105</v>
      </c>
      <c r="H48" s="28">
        <f t="shared" si="42"/>
        <v>835817.6511</v>
      </c>
      <c r="I48" s="28">
        <f t="shared" si="42"/>
        <v>877608.5336</v>
      </c>
      <c r="J48" s="28">
        <f t="shared" si="42"/>
        <v>921488.9603</v>
      </c>
      <c r="K48" s="28">
        <f t="shared" si="42"/>
        <v>967563.4083</v>
      </c>
      <c r="L48" s="28">
        <f t="shared" si="42"/>
        <v>1015941.579</v>
      </c>
      <c r="M48" s="28">
        <f t="shared" si="42"/>
        <v>1066738.658</v>
      </c>
      <c r="N48" s="28">
        <f t="shared" si="42"/>
        <v>1120075.591</v>
      </c>
      <c r="O48" s="28">
        <f t="shared" si="42"/>
        <v>1176079.37</v>
      </c>
      <c r="P48" s="28">
        <f t="shared" si="42"/>
        <v>1234883.339</v>
      </c>
      <c r="Q48" s="28">
        <f t="shared" si="42"/>
        <v>1296627.505</v>
      </c>
      <c r="R48" s="28">
        <f t="shared" si="42"/>
        <v>1361458.881</v>
      </c>
      <c r="S48" s="28">
        <f t="shared" si="42"/>
        <v>1429531.825</v>
      </c>
      <c r="T48" s="28">
        <f t="shared" si="42"/>
        <v>1501008.416</v>
      </c>
      <c r="U48" s="28">
        <f t="shared" si="42"/>
        <v>1576058.837</v>
      </c>
      <c r="V48" s="28">
        <f t="shared" si="42"/>
        <v>1654861.779</v>
      </c>
      <c r="W48" s="28">
        <f t="shared" si="42"/>
        <v>1737604.868</v>
      </c>
      <c r="X48" s="28">
        <f t="shared" si="42"/>
        <v>1824485.111</v>
      </c>
      <c r="Y48" s="28">
        <f t="shared" si="42"/>
        <v>1915709.367</v>
      </c>
      <c r="Z48" s="28">
        <f t="shared" si="42"/>
        <v>2011494.835</v>
      </c>
      <c r="AA48" s="8">
        <f t="shared" ref="AA48:AA49" si="44">Sum(C48:N48)</f>
        <v>10423887.4</v>
      </c>
      <c r="AB48" s="8">
        <f>Sum(O48:Z48)</f>
        <v>18719804.13</v>
      </c>
    </row>
    <row r="49" ht="12.75" customHeight="1">
      <c r="A49" s="37" t="s">
        <v>39</v>
      </c>
      <c r="B49" s="43"/>
      <c r="C49" s="15">
        <f t="shared" ref="C49:Z49" si="43">C55+C61</f>
        <v>654885</v>
      </c>
      <c r="D49" s="15">
        <f t="shared" si="43"/>
        <v>32744.25</v>
      </c>
      <c r="E49" s="15">
        <f t="shared" si="43"/>
        <v>34381.4625</v>
      </c>
      <c r="F49" s="15">
        <f t="shared" si="43"/>
        <v>36100.53562</v>
      </c>
      <c r="G49" s="15">
        <f t="shared" si="43"/>
        <v>37905.56241</v>
      </c>
      <c r="H49" s="15">
        <f t="shared" si="43"/>
        <v>39800.84053</v>
      </c>
      <c r="I49" s="15">
        <f t="shared" si="43"/>
        <v>41790.88255</v>
      </c>
      <c r="J49" s="15">
        <f t="shared" si="43"/>
        <v>43880.42668</v>
      </c>
      <c r="K49" s="15">
        <f t="shared" si="43"/>
        <v>46074.44801</v>
      </c>
      <c r="L49" s="15">
        <f t="shared" si="43"/>
        <v>48378.17042</v>
      </c>
      <c r="M49" s="15">
        <f t="shared" si="43"/>
        <v>50797.07894</v>
      </c>
      <c r="N49" s="15">
        <f t="shared" si="43"/>
        <v>53336.93288</v>
      </c>
      <c r="O49" s="15">
        <f t="shared" si="43"/>
        <v>56003.77953</v>
      </c>
      <c r="P49" s="15">
        <f t="shared" si="43"/>
        <v>58803.9685</v>
      </c>
      <c r="Q49" s="15">
        <f t="shared" si="43"/>
        <v>61744.16693</v>
      </c>
      <c r="R49" s="15">
        <f t="shared" si="43"/>
        <v>64831.37527</v>
      </c>
      <c r="S49" s="15">
        <f t="shared" si="43"/>
        <v>68072.94404</v>
      </c>
      <c r="T49" s="15">
        <f t="shared" si="43"/>
        <v>71476.59124</v>
      </c>
      <c r="U49" s="15">
        <f t="shared" si="43"/>
        <v>75050.4208</v>
      </c>
      <c r="V49" s="15">
        <f t="shared" si="43"/>
        <v>78802.94184</v>
      </c>
      <c r="W49" s="15">
        <f t="shared" si="43"/>
        <v>82743.08893</v>
      </c>
      <c r="X49" s="15">
        <f t="shared" si="43"/>
        <v>86880.24338</v>
      </c>
      <c r="Y49" s="15">
        <f t="shared" si="43"/>
        <v>91224.25555</v>
      </c>
      <c r="Z49" s="15">
        <f t="shared" si="43"/>
        <v>95785.46833</v>
      </c>
      <c r="AA49" s="16">
        <f t="shared" si="44"/>
        <v>1120075.591</v>
      </c>
      <c r="AB49" s="16">
        <f>SUM(O49:Z49)</f>
        <v>891419.2444</v>
      </c>
    </row>
    <row r="50" ht="12.75" customHeight="1">
      <c r="A50" s="30"/>
      <c r="B50" s="31"/>
      <c r="C50" s="32"/>
      <c r="AA50" s="36"/>
      <c r="AB50" s="36"/>
    </row>
    <row r="51" ht="28.5" customHeight="1">
      <c r="A51" s="26" t="s">
        <v>40</v>
      </c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8"/>
      <c r="AB51" s="8"/>
    </row>
    <row r="52" ht="12.75" customHeight="1">
      <c r="A52" s="37" t="s">
        <v>41</v>
      </c>
      <c r="B52" s="14">
        <v>15.0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AA52" s="36"/>
      <c r="AB52" s="36"/>
    </row>
    <row r="53" ht="12.75" customHeight="1">
      <c r="A53" s="30" t="s">
        <v>42</v>
      </c>
      <c r="B53" s="31"/>
      <c r="C53" s="15">
        <f t="shared" ref="C53:Z53" si="45">B54</f>
        <v>0</v>
      </c>
      <c r="D53" s="15">
        <f t="shared" si="45"/>
        <v>59535</v>
      </c>
      <c r="E53" s="15">
        <f t="shared" si="45"/>
        <v>62511.75</v>
      </c>
      <c r="F53" s="15">
        <f t="shared" si="45"/>
        <v>65637.3375</v>
      </c>
      <c r="G53" s="15">
        <f t="shared" si="45"/>
        <v>68919.20438</v>
      </c>
      <c r="H53" s="15">
        <f t="shared" si="45"/>
        <v>72365.16459</v>
      </c>
      <c r="I53" s="15">
        <f t="shared" si="45"/>
        <v>75983.42282</v>
      </c>
      <c r="J53" s="15">
        <f t="shared" si="45"/>
        <v>79782.59396</v>
      </c>
      <c r="K53" s="15">
        <f t="shared" si="45"/>
        <v>83771.72366</v>
      </c>
      <c r="L53" s="15">
        <f t="shared" si="45"/>
        <v>87960.30985</v>
      </c>
      <c r="M53" s="15">
        <f t="shared" si="45"/>
        <v>92358.32534</v>
      </c>
      <c r="N53" s="15">
        <f t="shared" si="45"/>
        <v>96976.24161</v>
      </c>
      <c r="O53" s="15">
        <f t="shared" si="45"/>
        <v>101825.0537</v>
      </c>
      <c r="P53" s="15">
        <f t="shared" si="45"/>
        <v>106916.3064</v>
      </c>
      <c r="Q53" s="15">
        <f t="shared" si="45"/>
        <v>112262.1217</v>
      </c>
      <c r="R53" s="15">
        <f t="shared" si="45"/>
        <v>117875.2278</v>
      </c>
      <c r="S53" s="15">
        <f t="shared" si="45"/>
        <v>123768.9892</v>
      </c>
      <c r="T53" s="15">
        <f t="shared" si="45"/>
        <v>129957.4386</v>
      </c>
      <c r="U53" s="15">
        <f t="shared" si="45"/>
        <v>136455.3106</v>
      </c>
      <c r="V53" s="15">
        <f t="shared" si="45"/>
        <v>143278.0761</v>
      </c>
      <c r="W53" s="15">
        <f t="shared" si="45"/>
        <v>150441.9799</v>
      </c>
      <c r="X53" s="15">
        <f t="shared" si="45"/>
        <v>157964.0789</v>
      </c>
      <c r="Y53" s="15">
        <f t="shared" si="45"/>
        <v>165862.2828</v>
      </c>
      <c r="Z53" s="15">
        <f t="shared" si="45"/>
        <v>174155.397</v>
      </c>
      <c r="AA53" s="16">
        <f t="shared" ref="AA53:AA55" si="47">Sum(C53:N53)</f>
        <v>845801.0737</v>
      </c>
      <c r="AB53" s="16">
        <f t="shared" ref="AB53:AB55" si="48">SUM(O53:Z53)</f>
        <v>1620762.262</v>
      </c>
    </row>
    <row r="54" ht="12.75" customHeight="1">
      <c r="A54" s="37" t="s">
        <v>43</v>
      </c>
      <c r="B54" s="40">
        <v>0.0</v>
      </c>
      <c r="C54" s="15">
        <f t="shared" ref="C54:Z54" si="46">-C19*$B$52/30</f>
        <v>59535</v>
      </c>
      <c r="D54" s="15">
        <f t="shared" si="46"/>
        <v>62511.75</v>
      </c>
      <c r="E54" s="15">
        <f t="shared" si="46"/>
        <v>65637.3375</v>
      </c>
      <c r="F54" s="15">
        <f t="shared" si="46"/>
        <v>68919.20438</v>
      </c>
      <c r="G54" s="15">
        <f t="shared" si="46"/>
        <v>72365.16459</v>
      </c>
      <c r="H54" s="15">
        <f t="shared" si="46"/>
        <v>75983.42282</v>
      </c>
      <c r="I54" s="15">
        <f t="shared" si="46"/>
        <v>79782.59396</v>
      </c>
      <c r="J54" s="15">
        <f t="shared" si="46"/>
        <v>83771.72366</v>
      </c>
      <c r="K54" s="15">
        <f t="shared" si="46"/>
        <v>87960.30985</v>
      </c>
      <c r="L54" s="15">
        <f t="shared" si="46"/>
        <v>92358.32534</v>
      </c>
      <c r="M54" s="15">
        <f t="shared" si="46"/>
        <v>96976.24161</v>
      </c>
      <c r="N54" s="15">
        <f t="shared" si="46"/>
        <v>101825.0537</v>
      </c>
      <c r="O54" s="15">
        <f t="shared" si="46"/>
        <v>106916.3064</v>
      </c>
      <c r="P54" s="15">
        <f t="shared" si="46"/>
        <v>112262.1217</v>
      </c>
      <c r="Q54" s="15">
        <f t="shared" si="46"/>
        <v>117875.2278</v>
      </c>
      <c r="R54" s="15">
        <f t="shared" si="46"/>
        <v>123768.9892</v>
      </c>
      <c r="S54" s="15">
        <f t="shared" si="46"/>
        <v>129957.4386</v>
      </c>
      <c r="T54" s="15">
        <f t="shared" si="46"/>
        <v>136455.3106</v>
      </c>
      <c r="U54" s="15">
        <f t="shared" si="46"/>
        <v>143278.0761</v>
      </c>
      <c r="V54" s="15">
        <f t="shared" si="46"/>
        <v>150441.9799</v>
      </c>
      <c r="W54" s="15">
        <f t="shared" si="46"/>
        <v>157964.0789</v>
      </c>
      <c r="X54" s="15">
        <f t="shared" si="46"/>
        <v>165862.2828</v>
      </c>
      <c r="Y54" s="15">
        <f t="shared" si="46"/>
        <v>174155.397</v>
      </c>
      <c r="Z54" s="15">
        <f t="shared" si="46"/>
        <v>182863.1668</v>
      </c>
      <c r="AA54" s="16">
        <f t="shared" si="47"/>
        <v>947626.1274</v>
      </c>
      <c r="AB54" s="16">
        <f t="shared" si="48"/>
        <v>1701800.376</v>
      </c>
    </row>
    <row r="55" ht="12.75" customHeight="1">
      <c r="A55" s="30" t="s">
        <v>44</v>
      </c>
      <c r="B55" s="31"/>
      <c r="C55" s="15">
        <f t="shared" ref="C55:Z55" si="49">C54-C53</f>
        <v>59535</v>
      </c>
      <c r="D55" s="15">
        <f t="shared" si="49"/>
        <v>2976.75</v>
      </c>
      <c r="E55" s="15">
        <f t="shared" si="49"/>
        <v>3125.5875</v>
      </c>
      <c r="F55" s="15">
        <f t="shared" si="49"/>
        <v>3281.866875</v>
      </c>
      <c r="G55" s="15">
        <f t="shared" si="49"/>
        <v>3445.960219</v>
      </c>
      <c r="H55" s="15">
        <f t="shared" si="49"/>
        <v>3618.25823</v>
      </c>
      <c r="I55" s="15">
        <f t="shared" si="49"/>
        <v>3799.171141</v>
      </c>
      <c r="J55" s="15">
        <f t="shared" si="49"/>
        <v>3989.129698</v>
      </c>
      <c r="K55" s="15">
        <f t="shared" si="49"/>
        <v>4188.586183</v>
      </c>
      <c r="L55" s="15">
        <f t="shared" si="49"/>
        <v>4398.015492</v>
      </c>
      <c r="M55" s="15">
        <f t="shared" si="49"/>
        <v>4617.916267</v>
      </c>
      <c r="N55" s="15">
        <f t="shared" si="49"/>
        <v>4848.81208</v>
      </c>
      <c r="O55" s="15">
        <f t="shared" si="49"/>
        <v>5091.252684</v>
      </c>
      <c r="P55" s="15">
        <f t="shared" si="49"/>
        <v>5345.815318</v>
      </c>
      <c r="Q55" s="15">
        <f t="shared" si="49"/>
        <v>5613.106084</v>
      </c>
      <c r="R55" s="15">
        <f t="shared" si="49"/>
        <v>5893.761389</v>
      </c>
      <c r="S55" s="15">
        <f t="shared" si="49"/>
        <v>6188.449458</v>
      </c>
      <c r="T55" s="15">
        <f t="shared" si="49"/>
        <v>6497.871931</v>
      </c>
      <c r="U55" s="15">
        <f t="shared" si="49"/>
        <v>6822.765528</v>
      </c>
      <c r="V55" s="15">
        <f t="shared" si="49"/>
        <v>7163.903804</v>
      </c>
      <c r="W55" s="15">
        <f t="shared" si="49"/>
        <v>7522.098994</v>
      </c>
      <c r="X55" s="15">
        <f t="shared" si="49"/>
        <v>7898.203944</v>
      </c>
      <c r="Y55" s="15">
        <f t="shared" si="49"/>
        <v>8293.114141</v>
      </c>
      <c r="Z55" s="15">
        <f t="shared" si="49"/>
        <v>8707.769848</v>
      </c>
      <c r="AA55" s="16">
        <f t="shared" si="47"/>
        <v>101825.0537</v>
      </c>
      <c r="AB55" s="16">
        <f t="shared" si="48"/>
        <v>81038.11312</v>
      </c>
    </row>
    <row r="56" ht="12.75" customHeight="1">
      <c r="A56" s="30"/>
      <c r="B56" s="31"/>
      <c r="C56" s="15"/>
      <c r="AA56" s="36"/>
      <c r="AB56" s="36"/>
    </row>
    <row r="57" ht="28.5" customHeight="1">
      <c r="A57" s="26" t="s">
        <v>45</v>
      </c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8"/>
      <c r="AB57" s="8"/>
    </row>
    <row r="58" ht="12.75" customHeight="1">
      <c r="A58" s="37" t="s">
        <v>46</v>
      </c>
      <c r="B58" s="29">
        <v>45.0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AA58" s="36"/>
      <c r="AB58" s="36"/>
    </row>
    <row r="59" ht="12.75" customHeight="1">
      <c r="A59" s="30" t="s">
        <v>47</v>
      </c>
      <c r="B59" s="31"/>
      <c r="C59" s="15">
        <f t="shared" ref="C59:Z59" si="50">B60</f>
        <v>0</v>
      </c>
      <c r="D59" s="15">
        <f t="shared" si="50"/>
        <v>595350</v>
      </c>
      <c r="E59" s="15">
        <f t="shared" si="50"/>
        <v>625117.5</v>
      </c>
      <c r="F59" s="15">
        <f t="shared" si="50"/>
        <v>656373.375</v>
      </c>
      <c r="G59" s="15">
        <f t="shared" si="50"/>
        <v>689192.0438</v>
      </c>
      <c r="H59" s="15">
        <f t="shared" si="50"/>
        <v>723651.6459</v>
      </c>
      <c r="I59" s="15">
        <f t="shared" si="50"/>
        <v>759834.2282</v>
      </c>
      <c r="J59" s="15">
        <f t="shared" si="50"/>
        <v>797825.9396</v>
      </c>
      <c r="K59" s="15">
        <f t="shared" si="50"/>
        <v>837717.2366</v>
      </c>
      <c r="L59" s="15">
        <f t="shared" si="50"/>
        <v>879603.0985</v>
      </c>
      <c r="M59" s="15">
        <f t="shared" si="50"/>
        <v>923583.2534</v>
      </c>
      <c r="N59" s="15">
        <f t="shared" si="50"/>
        <v>969762.4161</v>
      </c>
      <c r="O59" s="15">
        <f t="shared" si="50"/>
        <v>1018250.537</v>
      </c>
      <c r="P59" s="15">
        <f t="shared" si="50"/>
        <v>1069163.064</v>
      </c>
      <c r="Q59" s="15">
        <f t="shared" si="50"/>
        <v>1122621.217</v>
      </c>
      <c r="R59" s="15">
        <f t="shared" si="50"/>
        <v>1178752.278</v>
      </c>
      <c r="S59" s="15">
        <f t="shared" si="50"/>
        <v>1237689.892</v>
      </c>
      <c r="T59" s="15">
        <f t="shared" si="50"/>
        <v>1299574.386</v>
      </c>
      <c r="U59" s="15">
        <f t="shared" si="50"/>
        <v>1364553.106</v>
      </c>
      <c r="V59" s="15">
        <f t="shared" si="50"/>
        <v>1432780.761</v>
      </c>
      <c r="W59" s="15">
        <f t="shared" si="50"/>
        <v>1504419.799</v>
      </c>
      <c r="X59" s="15">
        <f t="shared" si="50"/>
        <v>1579640.789</v>
      </c>
      <c r="Y59" s="15">
        <f t="shared" si="50"/>
        <v>1658622.828</v>
      </c>
      <c r="Z59" s="15">
        <f t="shared" si="50"/>
        <v>1741553.97</v>
      </c>
      <c r="AA59" s="16">
        <f t="shared" ref="AA59:AA61" si="52">Sum(C59:N59)</f>
        <v>8458010.737</v>
      </c>
      <c r="AB59" s="16">
        <f t="shared" ref="AB59:AB61" si="53">SUM(O59:Z59)</f>
        <v>16207622.62</v>
      </c>
    </row>
    <row r="60" ht="12.75" customHeight="1">
      <c r="A60" s="37" t="s">
        <v>48</v>
      </c>
      <c r="B60" s="40">
        <v>0.0</v>
      </c>
      <c r="C60" s="15">
        <f t="shared" ref="C60:Z60" si="51">C2*$B$58/30</f>
        <v>595350</v>
      </c>
      <c r="D60" s="15">
        <f t="shared" si="51"/>
        <v>625117.5</v>
      </c>
      <c r="E60" s="15">
        <f t="shared" si="51"/>
        <v>656373.375</v>
      </c>
      <c r="F60" s="15">
        <f t="shared" si="51"/>
        <v>689192.0438</v>
      </c>
      <c r="G60" s="15">
        <f t="shared" si="51"/>
        <v>723651.6459</v>
      </c>
      <c r="H60" s="15">
        <f t="shared" si="51"/>
        <v>759834.2282</v>
      </c>
      <c r="I60" s="15">
        <f t="shared" si="51"/>
        <v>797825.9396</v>
      </c>
      <c r="J60" s="15">
        <f t="shared" si="51"/>
        <v>837717.2366</v>
      </c>
      <c r="K60" s="15">
        <f t="shared" si="51"/>
        <v>879603.0985</v>
      </c>
      <c r="L60" s="15">
        <f t="shared" si="51"/>
        <v>923583.2534</v>
      </c>
      <c r="M60" s="15">
        <f t="shared" si="51"/>
        <v>969762.4161</v>
      </c>
      <c r="N60" s="15">
        <f t="shared" si="51"/>
        <v>1018250.537</v>
      </c>
      <c r="O60" s="15">
        <f t="shared" si="51"/>
        <v>1069163.064</v>
      </c>
      <c r="P60" s="15">
        <f t="shared" si="51"/>
        <v>1122621.217</v>
      </c>
      <c r="Q60" s="15">
        <f t="shared" si="51"/>
        <v>1178752.278</v>
      </c>
      <c r="R60" s="15">
        <f t="shared" si="51"/>
        <v>1237689.892</v>
      </c>
      <c r="S60" s="15">
        <f t="shared" si="51"/>
        <v>1299574.386</v>
      </c>
      <c r="T60" s="15">
        <f t="shared" si="51"/>
        <v>1364553.106</v>
      </c>
      <c r="U60" s="15">
        <f t="shared" si="51"/>
        <v>1432780.761</v>
      </c>
      <c r="V60" s="15">
        <f t="shared" si="51"/>
        <v>1504419.799</v>
      </c>
      <c r="W60" s="15">
        <f t="shared" si="51"/>
        <v>1579640.789</v>
      </c>
      <c r="X60" s="15">
        <f t="shared" si="51"/>
        <v>1658622.828</v>
      </c>
      <c r="Y60" s="15">
        <f t="shared" si="51"/>
        <v>1741553.97</v>
      </c>
      <c r="Z60" s="15">
        <f t="shared" si="51"/>
        <v>1828631.668</v>
      </c>
      <c r="AA60" s="16">
        <f t="shared" si="52"/>
        <v>9476261.274</v>
      </c>
      <c r="AB60" s="16">
        <f t="shared" si="53"/>
        <v>17018003.76</v>
      </c>
    </row>
    <row r="61" ht="12.75" customHeight="1">
      <c r="A61" s="30" t="s">
        <v>49</v>
      </c>
      <c r="B61" s="31"/>
      <c r="C61" s="15">
        <f t="shared" ref="C61:Z61" si="54">C60-C59</f>
        <v>595350</v>
      </c>
      <c r="D61" s="15">
        <f t="shared" si="54"/>
        <v>29767.5</v>
      </c>
      <c r="E61" s="15">
        <f t="shared" si="54"/>
        <v>31255.875</v>
      </c>
      <c r="F61" s="15">
        <f t="shared" si="54"/>
        <v>32818.66875</v>
      </c>
      <c r="G61" s="15">
        <f t="shared" si="54"/>
        <v>34459.60219</v>
      </c>
      <c r="H61" s="15">
        <f t="shared" si="54"/>
        <v>36182.5823</v>
      </c>
      <c r="I61" s="15">
        <f t="shared" si="54"/>
        <v>37991.71141</v>
      </c>
      <c r="J61" s="15">
        <f t="shared" si="54"/>
        <v>39891.29698</v>
      </c>
      <c r="K61" s="15">
        <f t="shared" si="54"/>
        <v>41885.86183</v>
      </c>
      <c r="L61" s="15">
        <f t="shared" si="54"/>
        <v>43980.15492</v>
      </c>
      <c r="M61" s="15">
        <f t="shared" si="54"/>
        <v>46179.16267</v>
      </c>
      <c r="N61" s="15">
        <f t="shared" si="54"/>
        <v>48488.1208</v>
      </c>
      <c r="O61" s="15">
        <f t="shared" si="54"/>
        <v>50912.52684</v>
      </c>
      <c r="P61" s="15">
        <f t="shared" si="54"/>
        <v>53458.15318</v>
      </c>
      <c r="Q61" s="15">
        <f t="shared" si="54"/>
        <v>56131.06084</v>
      </c>
      <c r="R61" s="15">
        <f t="shared" si="54"/>
        <v>58937.61389</v>
      </c>
      <c r="S61" s="15">
        <f t="shared" si="54"/>
        <v>61884.49458</v>
      </c>
      <c r="T61" s="15">
        <f t="shared" si="54"/>
        <v>64978.71931</v>
      </c>
      <c r="U61" s="15">
        <f t="shared" si="54"/>
        <v>68227.65528</v>
      </c>
      <c r="V61" s="15">
        <f t="shared" si="54"/>
        <v>71639.03804</v>
      </c>
      <c r="W61" s="15">
        <f t="shared" si="54"/>
        <v>75220.98994</v>
      </c>
      <c r="X61" s="15">
        <f t="shared" si="54"/>
        <v>78982.03944</v>
      </c>
      <c r="Y61" s="15">
        <f t="shared" si="54"/>
        <v>82931.14141</v>
      </c>
      <c r="Z61" s="15">
        <f t="shared" si="54"/>
        <v>87077.69848</v>
      </c>
      <c r="AA61" s="16">
        <f t="shared" si="52"/>
        <v>1018250.537</v>
      </c>
      <c r="AB61" s="16">
        <f t="shared" si="53"/>
        <v>810381.1312</v>
      </c>
    </row>
    <row r="62" ht="12.75" customHeight="1">
      <c r="A62" s="30"/>
      <c r="B62" s="31"/>
      <c r="C62" s="15"/>
      <c r="AA62" s="36"/>
      <c r="AB62" s="36"/>
    </row>
    <row r="63" ht="28.5" customHeight="1">
      <c r="A63" s="26" t="s">
        <v>50</v>
      </c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8"/>
      <c r="AB63" s="8"/>
    </row>
    <row r="64" ht="29.25" customHeight="1">
      <c r="A64" s="45" t="s">
        <v>51</v>
      </c>
      <c r="B64" s="46"/>
      <c r="C64" s="11">
        <f t="shared" ref="C64:Z64" si="55">B76</f>
        <v>250000</v>
      </c>
      <c r="D64" s="11">
        <f t="shared" si="55"/>
        <v>-582649</v>
      </c>
      <c r="E64" s="11">
        <f t="shared" si="55"/>
        <v>-592575.45</v>
      </c>
      <c r="F64" s="11">
        <f t="shared" si="55"/>
        <v>-598278.2225</v>
      </c>
      <c r="G64" s="11">
        <f t="shared" si="55"/>
        <v>-599546.1336</v>
      </c>
      <c r="H64" s="11">
        <f t="shared" si="55"/>
        <v>-596157.4403</v>
      </c>
      <c r="I64" s="11">
        <f t="shared" si="55"/>
        <v>-587879.3123</v>
      </c>
      <c r="J64" s="11">
        <f t="shared" si="55"/>
        <v>-574467.2779</v>
      </c>
      <c r="K64" s="11">
        <f t="shared" si="55"/>
        <v>-555664.6418</v>
      </c>
      <c r="L64" s="11">
        <f t="shared" si="55"/>
        <v>-531201.8739</v>
      </c>
      <c r="M64" s="11">
        <f t="shared" si="55"/>
        <v>-500795.9676</v>
      </c>
      <c r="N64" s="11">
        <f t="shared" si="55"/>
        <v>-464149.766</v>
      </c>
      <c r="O64" s="11">
        <f t="shared" si="55"/>
        <v>-420951.2543</v>
      </c>
      <c r="P64" s="11">
        <f t="shared" si="55"/>
        <v>-370872.817</v>
      </c>
      <c r="Q64" s="11">
        <f t="shared" si="55"/>
        <v>-313570.4579</v>
      </c>
      <c r="R64" s="11">
        <f t="shared" si="55"/>
        <v>-248682.9808</v>
      </c>
      <c r="S64" s="11">
        <f t="shared" si="55"/>
        <v>-175831.1298</v>
      </c>
      <c r="T64" s="11">
        <f t="shared" si="55"/>
        <v>-94616.68629</v>
      </c>
      <c r="U64" s="11">
        <f t="shared" si="55"/>
        <v>-4621.520606</v>
      </c>
      <c r="V64" s="11">
        <f t="shared" si="55"/>
        <v>94593.40336</v>
      </c>
      <c r="W64" s="11">
        <f t="shared" si="55"/>
        <v>203489.0735</v>
      </c>
      <c r="X64" s="11">
        <f t="shared" si="55"/>
        <v>322549.5272</v>
      </c>
      <c r="Y64" s="11">
        <f t="shared" si="55"/>
        <v>452283.0036</v>
      </c>
      <c r="Z64" s="11">
        <f t="shared" si="55"/>
        <v>593223.1537</v>
      </c>
      <c r="AA64" s="12">
        <f t="shared" ref="AA64:AA76" si="57">Sum(C64:N64)</f>
        <v>-5933365.086</v>
      </c>
      <c r="AB64" s="12">
        <f t="shared" ref="AB64:AB72" si="58">SUM(O64:Z64)</f>
        <v>36991.31476</v>
      </c>
    </row>
    <row r="65" ht="27.75" customHeight="1">
      <c r="A65" s="47" t="s">
        <v>52</v>
      </c>
      <c r="B65" s="46"/>
      <c r="C65" s="11">
        <f t="shared" ref="C65:Z65" si="56">C38+C40+C41-C49</f>
        <v>-637649</v>
      </c>
      <c r="D65" s="11">
        <f t="shared" si="56"/>
        <v>-9926.45</v>
      </c>
      <c r="E65" s="11">
        <f t="shared" si="56"/>
        <v>-5702.7725</v>
      </c>
      <c r="F65" s="11">
        <f t="shared" si="56"/>
        <v>-1267.911125</v>
      </c>
      <c r="G65" s="11">
        <f t="shared" si="56"/>
        <v>3388.693319</v>
      </c>
      <c r="H65" s="11">
        <f t="shared" si="56"/>
        <v>8278.127985</v>
      </c>
      <c r="I65" s="11">
        <f t="shared" si="56"/>
        <v>13412.03438</v>
      </c>
      <c r="J65" s="11">
        <f t="shared" si="56"/>
        <v>18802.6361</v>
      </c>
      <c r="K65" s="11">
        <f t="shared" si="56"/>
        <v>24462.76791</v>
      </c>
      <c r="L65" s="11">
        <f t="shared" si="56"/>
        <v>30405.9063</v>
      </c>
      <c r="M65" s="11">
        <f t="shared" si="56"/>
        <v>36646.20162</v>
      </c>
      <c r="N65" s="11">
        <f t="shared" si="56"/>
        <v>43198.5117</v>
      </c>
      <c r="O65" s="11">
        <f t="shared" si="56"/>
        <v>50078.43728</v>
      </c>
      <c r="P65" s="11">
        <f t="shared" si="56"/>
        <v>57302.35915</v>
      </c>
      <c r="Q65" s="11">
        <f t="shared" si="56"/>
        <v>64887.47711</v>
      </c>
      <c r="R65" s="11">
        <f t="shared" si="56"/>
        <v>72851.85096</v>
      </c>
      <c r="S65" s="11">
        <f t="shared" si="56"/>
        <v>81214.44351</v>
      </c>
      <c r="T65" s="11">
        <f t="shared" si="56"/>
        <v>89995.16569</v>
      </c>
      <c r="U65" s="11">
        <f t="shared" si="56"/>
        <v>99214.92397</v>
      </c>
      <c r="V65" s="11">
        <f t="shared" si="56"/>
        <v>108895.6702</v>
      </c>
      <c r="W65" s="11">
        <f t="shared" si="56"/>
        <v>119060.4537</v>
      </c>
      <c r="X65" s="11">
        <f t="shared" si="56"/>
        <v>129733.4764</v>
      </c>
      <c r="Y65" s="11">
        <f t="shared" si="56"/>
        <v>140940.1502</v>
      </c>
      <c r="Z65" s="11">
        <f t="shared" si="56"/>
        <v>152707.1577</v>
      </c>
      <c r="AA65" s="12">
        <f t="shared" si="57"/>
        <v>-475951.2543</v>
      </c>
      <c r="AB65" s="12">
        <f t="shared" si="58"/>
        <v>1166881.566</v>
      </c>
    </row>
    <row r="66" ht="27.75" customHeight="1">
      <c r="A66" s="48" t="s">
        <v>53</v>
      </c>
      <c r="B66" s="46"/>
      <c r="C66" s="11">
        <f t="shared" ref="C66:Z66" si="59">Sum(C67:C71)</f>
        <v>-295000</v>
      </c>
      <c r="D66" s="11">
        <f t="shared" si="59"/>
        <v>0</v>
      </c>
      <c r="E66" s="11">
        <f t="shared" si="59"/>
        <v>0</v>
      </c>
      <c r="F66" s="11">
        <f t="shared" si="59"/>
        <v>0</v>
      </c>
      <c r="G66" s="11">
        <f t="shared" si="59"/>
        <v>0</v>
      </c>
      <c r="H66" s="11">
        <f t="shared" si="59"/>
        <v>0</v>
      </c>
      <c r="I66" s="11">
        <f t="shared" si="59"/>
        <v>0</v>
      </c>
      <c r="J66" s="11">
        <f t="shared" si="59"/>
        <v>0</v>
      </c>
      <c r="K66" s="11">
        <f t="shared" si="59"/>
        <v>0</v>
      </c>
      <c r="L66" s="11">
        <f t="shared" si="59"/>
        <v>0</v>
      </c>
      <c r="M66" s="11">
        <f t="shared" si="59"/>
        <v>0</v>
      </c>
      <c r="N66" s="11">
        <f t="shared" si="59"/>
        <v>0</v>
      </c>
      <c r="O66" s="11">
        <f t="shared" si="59"/>
        <v>0</v>
      </c>
      <c r="P66" s="11">
        <f t="shared" si="59"/>
        <v>0</v>
      </c>
      <c r="Q66" s="11">
        <f t="shared" si="59"/>
        <v>0</v>
      </c>
      <c r="R66" s="11">
        <f t="shared" si="59"/>
        <v>0</v>
      </c>
      <c r="S66" s="11">
        <f t="shared" si="59"/>
        <v>0</v>
      </c>
      <c r="T66" s="11">
        <f t="shared" si="59"/>
        <v>0</v>
      </c>
      <c r="U66" s="11">
        <f t="shared" si="59"/>
        <v>0</v>
      </c>
      <c r="V66" s="11">
        <f t="shared" si="59"/>
        <v>0</v>
      </c>
      <c r="W66" s="11">
        <f t="shared" si="59"/>
        <v>0</v>
      </c>
      <c r="X66" s="11">
        <f t="shared" si="59"/>
        <v>0</v>
      </c>
      <c r="Y66" s="11">
        <f t="shared" si="59"/>
        <v>0</v>
      </c>
      <c r="Z66" s="11">
        <f t="shared" si="59"/>
        <v>0</v>
      </c>
      <c r="AA66" s="12">
        <f t="shared" si="57"/>
        <v>-295000</v>
      </c>
      <c r="AB66" s="12">
        <f t="shared" si="58"/>
        <v>0</v>
      </c>
    </row>
    <row r="67" ht="12.75" customHeight="1">
      <c r="A67" s="49" t="s">
        <v>54</v>
      </c>
      <c r="B67" s="31"/>
      <c r="C67" s="50">
        <v>-100000.0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AA67" s="16">
        <f t="shared" si="57"/>
        <v>-100000</v>
      </c>
      <c r="AB67" s="16">
        <f t="shared" si="58"/>
        <v>0</v>
      </c>
    </row>
    <row r="68" ht="12.75" customHeight="1">
      <c r="A68" s="49" t="s">
        <v>55</v>
      </c>
      <c r="B68" s="31"/>
      <c r="C68" s="50">
        <v>-50000.0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AA68" s="16">
        <f t="shared" si="57"/>
        <v>-50000</v>
      </c>
      <c r="AB68" s="16">
        <f t="shared" si="58"/>
        <v>0</v>
      </c>
    </row>
    <row r="69" ht="12.75" customHeight="1">
      <c r="A69" s="49" t="s">
        <v>56</v>
      </c>
      <c r="B69" s="31"/>
      <c r="C69" s="50">
        <v>-40000.0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AA69" s="16">
        <f t="shared" si="57"/>
        <v>-40000</v>
      </c>
      <c r="AB69" s="16">
        <f t="shared" si="58"/>
        <v>0</v>
      </c>
    </row>
    <row r="70" ht="12.75" customHeight="1">
      <c r="A70" s="49" t="s">
        <v>57</v>
      </c>
      <c r="B70" s="31"/>
      <c r="C70" s="50">
        <v>-100000.0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AA70" s="16">
        <f t="shared" si="57"/>
        <v>-100000</v>
      </c>
      <c r="AB70" s="16">
        <f t="shared" si="58"/>
        <v>0</v>
      </c>
    </row>
    <row r="71" ht="12.75" customHeight="1">
      <c r="A71" s="49" t="s">
        <v>19</v>
      </c>
      <c r="B71" s="31"/>
      <c r="C71" s="50">
        <v>-5000.0</v>
      </c>
      <c r="D71" s="15"/>
      <c r="E71" s="15"/>
      <c r="F71" s="15"/>
      <c r="G71" s="15"/>
      <c r="H71" s="15"/>
      <c r="I71" s="15"/>
      <c r="J71" s="15"/>
      <c r="K71" s="15"/>
      <c r="L71" s="50"/>
      <c r="M71" s="50"/>
      <c r="N71" s="50"/>
      <c r="O71" s="50"/>
      <c r="P71" s="50"/>
      <c r="Q71" s="50"/>
      <c r="R71" s="50"/>
      <c r="S71" s="50"/>
      <c r="T71" s="50"/>
      <c r="AA71" s="16">
        <f t="shared" si="57"/>
        <v>-5000</v>
      </c>
      <c r="AB71" s="16">
        <f t="shared" si="58"/>
        <v>0</v>
      </c>
    </row>
    <row r="72" ht="17.25" customHeight="1">
      <c r="A72" s="47" t="s">
        <v>58</v>
      </c>
      <c r="B72" s="46"/>
      <c r="C72" s="51">
        <f>SUM(C73:C74)</f>
        <v>100000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2"/>
      <c r="V72" s="52"/>
      <c r="W72" s="52"/>
      <c r="X72" s="52"/>
      <c r="Y72" s="52"/>
      <c r="Z72" s="52"/>
      <c r="AA72" s="12">
        <f t="shared" si="57"/>
        <v>100000</v>
      </c>
      <c r="AB72" s="12">
        <f t="shared" si="58"/>
        <v>0</v>
      </c>
    </row>
    <row r="73" ht="12.75" customHeight="1">
      <c r="A73" s="49" t="s">
        <v>59</v>
      </c>
      <c r="B73" s="31"/>
      <c r="C73" s="50">
        <v>50000.0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AA73" s="16">
        <f t="shared" si="57"/>
        <v>50000</v>
      </c>
      <c r="AB73" s="16">
        <f t="shared" ref="AB73:AB74" si="60">Sum(D73:O73)</f>
        <v>0</v>
      </c>
    </row>
    <row r="74" ht="15.0" customHeight="1">
      <c r="A74" s="49" t="s">
        <v>60</v>
      </c>
      <c r="B74" s="6"/>
      <c r="C74" s="50">
        <v>50000.0</v>
      </c>
      <c r="D74" s="50"/>
      <c r="E74" s="50"/>
      <c r="F74" s="50"/>
      <c r="G74" s="50"/>
      <c r="H74" s="50"/>
      <c r="I74" s="50"/>
      <c r="J74" s="50"/>
      <c r="K74" s="5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6">
        <f t="shared" si="57"/>
        <v>50000</v>
      </c>
      <c r="AB74" s="16">
        <f t="shared" si="60"/>
        <v>0</v>
      </c>
    </row>
    <row r="75" ht="28.5" customHeight="1">
      <c r="A75" s="53" t="s">
        <v>61</v>
      </c>
      <c r="B75" s="54"/>
      <c r="C75" s="55">
        <f t="shared" ref="C75:Z75" si="61">SUM(C65,C72,C66)</f>
        <v>-832649</v>
      </c>
      <c r="D75" s="55">
        <f t="shared" si="61"/>
        <v>-9926.45</v>
      </c>
      <c r="E75" s="55">
        <f t="shared" si="61"/>
        <v>-5702.7725</v>
      </c>
      <c r="F75" s="55">
        <f t="shared" si="61"/>
        <v>-1267.911125</v>
      </c>
      <c r="G75" s="55">
        <f t="shared" si="61"/>
        <v>3388.693319</v>
      </c>
      <c r="H75" s="55">
        <f t="shared" si="61"/>
        <v>8278.127985</v>
      </c>
      <c r="I75" s="55">
        <f t="shared" si="61"/>
        <v>13412.03438</v>
      </c>
      <c r="J75" s="55">
        <f t="shared" si="61"/>
        <v>18802.6361</v>
      </c>
      <c r="K75" s="55">
        <f t="shared" si="61"/>
        <v>24462.76791</v>
      </c>
      <c r="L75" s="55">
        <f t="shared" si="61"/>
        <v>30405.9063</v>
      </c>
      <c r="M75" s="55">
        <f t="shared" si="61"/>
        <v>36646.20162</v>
      </c>
      <c r="N75" s="55">
        <f t="shared" si="61"/>
        <v>43198.5117</v>
      </c>
      <c r="O75" s="55">
        <f t="shared" si="61"/>
        <v>50078.43728</v>
      </c>
      <c r="P75" s="55">
        <f t="shared" si="61"/>
        <v>57302.35915</v>
      </c>
      <c r="Q75" s="55">
        <f t="shared" si="61"/>
        <v>64887.47711</v>
      </c>
      <c r="R75" s="55">
        <f t="shared" si="61"/>
        <v>72851.85096</v>
      </c>
      <c r="S75" s="55">
        <f t="shared" si="61"/>
        <v>81214.44351</v>
      </c>
      <c r="T75" s="55">
        <f t="shared" si="61"/>
        <v>89995.16569</v>
      </c>
      <c r="U75" s="55">
        <f t="shared" si="61"/>
        <v>99214.92397</v>
      </c>
      <c r="V75" s="55">
        <f t="shared" si="61"/>
        <v>108895.6702</v>
      </c>
      <c r="W75" s="55">
        <f t="shared" si="61"/>
        <v>119060.4537</v>
      </c>
      <c r="X75" s="55">
        <f t="shared" si="61"/>
        <v>129733.4764</v>
      </c>
      <c r="Y75" s="55">
        <f t="shared" si="61"/>
        <v>140940.1502</v>
      </c>
      <c r="Z75" s="55">
        <f t="shared" si="61"/>
        <v>152707.1577</v>
      </c>
      <c r="AA75" s="8">
        <f t="shared" si="57"/>
        <v>-670951.2543</v>
      </c>
      <c r="AB75" s="8">
        <f t="shared" ref="AB75:AB76" si="63">Sum(O75:Z75)</f>
        <v>1166881.566</v>
      </c>
    </row>
    <row r="76" ht="12.75" customHeight="1">
      <c r="A76" s="56" t="s">
        <v>62</v>
      </c>
      <c r="B76" s="57">
        <v>250000.0</v>
      </c>
      <c r="C76" s="11">
        <f t="shared" ref="C76:Z76" si="62">C64+C75</f>
        <v>-582649</v>
      </c>
      <c r="D76" s="11">
        <f t="shared" si="62"/>
        <v>-592575.45</v>
      </c>
      <c r="E76" s="11">
        <f t="shared" si="62"/>
        <v>-598278.2225</v>
      </c>
      <c r="F76" s="11">
        <f t="shared" si="62"/>
        <v>-599546.1336</v>
      </c>
      <c r="G76" s="11">
        <f t="shared" si="62"/>
        <v>-596157.4403</v>
      </c>
      <c r="H76" s="11">
        <f t="shared" si="62"/>
        <v>-587879.3123</v>
      </c>
      <c r="I76" s="11">
        <f t="shared" si="62"/>
        <v>-574467.2779</v>
      </c>
      <c r="J76" s="11">
        <f t="shared" si="62"/>
        <v>-555664.6418</v>
      </c>
      <c r="K76" s="11">
        <f t="shared" si="62"/>
        <v>-531201.8739</v>
      </c>
      <c r="L76" s="11">
        <f t="shared" si="62"/>
        <v>-500795.9676</v>
      </c>
      <c r="M76" s="11">
        <f t="shared" si="62"/>
        <v>-464149.766</v>
      </c>
      <c r="N76" s="11">
        <f t="shared" si="62"/>
        <v>-420951.2543</v>
      </c>
      <c r="O76" s="11">
        <f t="shared" si="62"/>
        <v>-370872.817</v>
      </c>
      <c r="P76" s="11">
        <f t="shared" si="62"/>
        <v>-313570.4579</v>
      </c>
      <c r="Q76" s="11">
        <f t="shared" si="62"/>
        <v>-248682.9808</v>
      </c>
      <c r="R76" s="11">
        <f t="shared" si="62"/>
        <v>-175831.1298</v>
      </c>
      <c r="S76" s="11">
        <f t="shared" si="62"/>
        <v>-94616.68629</v>
      </c>
      <c r="T76" s="11">
        <f t="shared" si="62"/>
        <v>-4621.520606</v>
      </c>
      <c r="U76" s="11">
        <f t="shared" si="62"/>
        <v>94593.40336</v>
      </c>
      <c r="V76" s="11">
        <f t="shared" si="62"/>
        <v>203489.0735</v>
      </c>
      <c r="W76" s="11">
        <f t="shared" si="62"/>
        <v>322549.5272</v>
      </c>
      <c r="X76" s="11">
        <f t="shared" si="62"/>
        <v>452283.0036</v>
      </c>
      <c r="Y76" s="11">
        <f t="shared" si="62"/>
        <v>593223.1537</v>
      </c>
      <c r="Z76" s="11">
        <f t="shared" si="62"/>
        <v>745930.3114</v>
      </c>
      <c r="AA76" s="8">
        <f t="shared" si="57"/>
        <v>-6604316.34</v>
      </c>
      <c r="AB76" s="8">
        <f t="shared" si="63"/>
        <v>1203872.88</v>
      </c>
    </row>
    <row r="77" ht="12.75" customHeight="1">
      <c r="A77" s="37"/>
      <c r="B77" s="4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AA77" s="36"/>
      <c r="AB77" s="36"/>
    </row>
    <row r="78" ht="12.75" customHeight="1">
      <c r="A78" s="37"/>
      <c r="B78" s="41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AA78" s="36"/>
      <c r="AB78" s="36"/>
    </row>
    <row r="79" ht="12.75" customHeight="1">
      <c r="A79" s="37"/>
      <c r="B79" s="41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AA79" s="36"/>
      <c r="AB79" s="36"/>
    </row>
    <row r="80" ht="12.75" customHeight="1">
      <c r="A80" s="37"/>
      <c r="B80" s="41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AA80" s="36"/>
      <c r="AB80" s="36"/>
    </row>
    <row r="81" ht="12.75" customHeight="1">
      <c r="A81" s="37"/>
      <c r="B81" s="41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AA81" s="36"/>
      <c r="AB81" s="36"/>
    </row>
    <row r="82" ht="12.75" customHeight="1">
      <c r="A82" s="37"/>
      <c r="B82" s="41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AA82" s="36"/>
      <c r="AB82" s="36"/>
    </row>
    <row r="83" ht="12.75" customHeight="1">
      <c r="A83" s="37"/>
      <c r="B83" s="41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AA83" s="36"/>
      <c r="AB83" s="36"/>
    </row>
    <row r="84" ht="12.75" customHeight="1">
      <c r="A84" s="37"/>
      <c r="B84" s="41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AA84" s="36"/>
      <c r="AB84" s="36"/>
    </row>
    <row r="85" ht="12.75" customHeight="1">
      <c r="A85" s="37"/>
      <c r="B85" s="41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AA85" s="36"/>
      <c r="AB85" s="36"/>
    </row>
    <row r="86" ht="12.75" customHeight="1">
      <c r="A86" s="37"/>
      <c r="B86" s="41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AA86" s="36"/>
      <c r="AB86" s="36"/>
    </row>
    <row r="87" ht="12.75" customHeight="1">
      <c r="A87" s="37"/>
      <c r="B87" s="41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AA87" s="36"/>
      <c r="AB87" s="36"/>
    </row>
    <row r="88" ht="12.75" customHeight="1">
      <c r="A88" s="37"/>
      <c r="B88" s="41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AA88" s="36"/>
      <c r="AB88" s="36"/>
    </row>
    <row r="89" ht="12.75" customHeight="1">
      <c r="A89" s="37"/>
      <c r="B89" s="41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AA89" s="36"/>
      <c r="AB89" s="36"/>
    </row>
    <row r="90" ht="12.75" customHeight="1">
      <c r="A90" s="37"/>
      <c r="B90" s="41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AA90" s="36"/>
      <c r="AB90" s="36"/>
    </row>
    <row r="91" ht="12.75" customHeight="1">
      <c r="A91" s="37"/>
      <c r="B91" s="41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AA91" s="36"/>
      <c r="AB91" s="36"/>
    </row>
    <row r="92" ht="12.75" customHeight="1">
      <c r="A92" s="37"/>
      <c r="B92" s="41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AA92" s="36"/>
      <c r="AB92" s="36"/>
    </row>
    <row r="93" ht="12.75" customHeight="1">
      <c r="A93" s="37"/>
      <c r="B93" s="41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AA93" s="36"/>
      <c r="AB93" s="36"/>
    </row>
    <row r="94" ht="12.75" customHeight="1">
      <c r="A94" s="37"/>
      <c r="B94" s="41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AA94" s="36"/>
      <c r="AB94" s="36"/>
    </row>
    <row r="95" ht="12.75" customHeight="1">
      <c r="A95" s="37"/>
      <c r="B95" s="41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AA95" s="36"/>
      <c r="AB95" s="36"/>
    </row>
    <row r="96" ht="12.75" customHeight="1">
      <c r="A96" s="37"/>
      <c r="B96" s="41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AA96" s="36"/>
      <c r="AB96" s="36"/>
    </row>
    <row r="97" ht="12.75" customHeight="1">
      <c r="A97" s="37"/>
      <c r="B97" s="41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AA97" s="36"/>
      <c r="AB97" s="36"/>
    </row>
    <row r="98" ht="12.75" customHeight="1">
      <c r="A98" s="37"/>
      <c r="B98" s="41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AA98" s="36"/>
      <c r="AB98" s="36"/>
    </row>
    <row r="99" ht="12.75" customHeight="1">
      <c r="A99" s="37"/>
      <c r="B99" s="41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AA99" s="36"/>
      <c r="AB99" s="36"/>
    </row>
    <row r="100" ht="12.75" customHeight="1">
      <c r="A100" s="37"/>
      <c r="B100" s="41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AA100" s="36"/>
      <c r="AB100" s="36"/>
    </row>
    <row r="101" ht="12.75" customHeight="1">
      <c r="A101" s="37"/>
      <c r="B101" s="41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AA101" s="36"/>
      <c r="AB101" s="36"/>
    </row>
    <row r="102" ht="12.75" customHeight="1">
      <c r="A102" s="37"/>
      <c r="B102" s="41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AA102" s="36"/>
      <c r="AB102" s="36"/>
    </row>
    <row r="103" ht="12.75" customHeight="1">
      <c r="A103" s="37"/>
      <c r="B103" s="41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AA103" s="36"/>
      <c r="AB103" s="36"/>
    </row>
    <row r="104" ht="12.75" customHeight="1">
      <c r="A104" s="37"/>
      <c r="B104" s="41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AA104" s="36"/>
      <c r="AB104" s="36"/>
    </row>
    <row r="105" ht="12.75" customHeight="1">
      <c r="A105" s="37"/>
      <c r="B105" s="41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AA105" s="36"/>
      <c r="AB105" s="36"/>
    </row>
    <row r="106" ht="12.75" customHeight="1">
      <c r="A106" s="37"/>
      <c r="B106" s="41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AA106" s="36"/>
      <c r="AB106" s="36"/>
    </row>
    <row r="107" ht="12.75" customHeight="1">
      <c r="A107" s="37"/>
      <c r="B107" s="41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AA107" s="36"/>
      <c r="AB107" s="36"/>
    </row>
    <row r="108" ht="12.75" customHeight="1">
      <c r="A108" s="37"/>
      <c r="B108" s="41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AA108" s="36"/>
      <c r="AB108" s="36"/>
    </row>
    <row r="109" ht="12.75" customHeight="1">
      <c r="A109" s="37"/>
      <c r="B109" s="41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AA109" s="36"/>
      <c r="AB109" s="36"/>
    </row>
    <row r="110" ht="12.75" customHeight="1">
      <c r="A110" s="37"/>
      <c r="B110" s="41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AA110" s="36"/>
      <c r="AB110" s="36"/>
    </row>
    <row r="111" ht="12.75" customHeight="1">
      <c r="A111" s="37"/>
      <c r="B111" s="41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AA111" s="36"/>
      <c r="AB111" s="36"/>
    </row>
    <row r="112" ht="12.75" customHeight="1">
      <c r="A112" s="37"/>
      <c r="B112" s="41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AA112" s="36"/>
      <c r="AB112" s="36"/>
    </row>
    <row r="113" ht="12.75" customHeight="1">
      <c r="A113" s="37"/>
      <c r="B113" s="41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AA113" s="36"/>
      <c r="AB113" s="36"/>
    </row>
    <row r="114" ht="12.75" customHeight="1">
      <c r="A114" s="37"/>
      <c r="B114" s="41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AA114" s="36"/>
      <c r="AB114" s="36"/>
    </row>
    <row r="115" ht="12.75" customHeight="1">
      <c r="A115" s="37"/>
      <c r="B115" s="41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AA115" s="36"/>
      <c r="AB115" s="36"/>
    </row>
    <row r="116" ht="12.75" customHeight="1">
      <c r="A116" s="37"/>
      <c r="B116" s="41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AA116" s="36"/>
      <c r="AB116" s="36"/>
    </row>
    <row r="117" ht="12.75" customHeight="1">
      <c r="A117" s="37"/>
      <c r="B117" s="41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AA117" s="36"/>
      <c r="AB117" s="36"/>
    </row>
    <row r="118" ht="12.75" customHeight="1">
      <c r="A118" s="37"/>
      <c r="B118" s="41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AA118" s="36"/>
      <c r="AB118" s="36"/>
    </row>
    <row r="119" ht="12.75" customHeight="1">
      <c r="A119" s="37"/>
      <c r="B119" s="41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AA119" s="36"/>
      <c r="AB119" s="36"/>
    </row>
    <row r="120" ht="12.75" customHeight="1">
      <c r="A120" s="37"/>
      <c r="B120" s="41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AA120" s="36"/>
      <c r="AB120" s="36"/>
    </row>
    <row r="121" ht="12.75" customHeight="1">
      <c r="A121" s="37"/>
      <c r="B121" s="41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AA121" s="36"/>
      <c r="AB121" s="36"/>
    </row>
    <row r="122" ht="12.75" customHeight="1">
      <c r="A122" s="37"/>
      <c r="B122" s="41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AA122" s="36"/>
      <c r="AB122" s="36"/>
    </row>
    <row r="123" ht="12.75" customHeight="1">
      <c r="A123" s="37"/>
      <c r="B123" s="41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AA123" s="36"/>
      <c r="AB123" s="36"/>
    </row>
    <row r="124" ht="12.75" customHeight="1">
      <c r="A124" s="37"/>
      <c r="B124" s="41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AA124" s="36"/>
      <c r="AB124" s="36"/>
    </row>
    <row r="125" ht="12.75" customHeight="1">
      <c r="A125" s="37"/>
      <c r="B125" s="41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AA125" s="36"/>
      <c r="AB125" s="36"/>
    </row>
    <row r="126" ht="12.75" customHeight="1">
      <c r="A126" s="37"/>
      <c r="B126" s="41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AA126" s="36"/>
      <c r="AB126" s="36"/>
    </row>
    <row r="127" ht="12.75" customHeight="1">
      <c r="A127" s="37"/>
      <c r="B127" s="41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AA127" s="36"/>
      <c r="AB127" s="36"/>
    </row>
    <row r="128" ht="12.75" customHeight="1">
      <c r="A128" s="37"/>
      <c r="B128" s="41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AA128" s="36"/>
      <c r="AB128" s="36"/>
    </row>
    <row r="129" ht="12.75" customHeight="1">
      <c r="A129" s="37"/>
      <c r="B129" s="41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AA129" s="36"/>
      <c r="AB129" s="36"/>
    </row>
    <row r="130" ht="12.75" customHeight="1">
      <c r="A130" s="37"/>
      <c r="B130" s="41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AA130" s="36"/>
      <c r="AB130" s="36"/>
    </row>
    <row r="131" ht="12.75" customHeight="1">
      <c r="A131" s="37"/>
      <c r="B131" s="41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AA131" s="36"/>
      <c r="AB131" s="36"/>
    </row>
    <row r="132" ht="12.75" customHeight="1">
      <c r="A132" s="37"/>
      <c r="B132" s="41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AA132" s="36"/>
      <c r="AB132" s="36"/>
    </row>
    <row r="133" ht="12.75" customHeight="1">
      <c r="A133" s="37"/>
      <c r="B133" s="41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AA133" s="36"/>
      <c r="AB133" s="36"/>
    </row>
    <row r="134" ht="12.75" customHeight="1">
      <c r="A134" s="37"/>
      <c r="B134" s="41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AA134" s="36"/>
      <c r="AB134" s="36"/>
    </row>
    <row r="135" ht="12.75" customHeight="1">
      <c r="A135" s="37"/>
      <c r="B135" s="41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AA135" s="36"/>
      <c r="AB135" s="36"/>
    </row>
    <row r="136" ht="12.75" customHeight="1">
      <c r="A136" s="37"/>
      <c r="B136" s="41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AA136" s="36"/>
      <c r="AB136" s="36"/>
    </row>
    <row r="137" ht="12.75" customHeight="1">
      <c r="A137" s="37"/>
      <c r="B137" s="41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AA137" s="36"/>
      <c r="AB137" s="36"/>
    </row>
    <row r="138" ht="12.75" customHeight="1">
      <c r="A138" s="37"/>
      <c r="B138" s="41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AA138" s="36"/>
      <c r="AB138" s="36"/>
    </row>
    <row r="139" ht="12.75" customHeight="1">
      <c r="A139" s="37"/>
      <c r="B139" s="41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AA139" s="36"/>
      <c r="AB139" s="36"/>
    </row>
    <row r="140" ht="12.75" customHeight="1">
      <c r="A140" s="37"/>
      <c r="B140" s="41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AA140" s="36"/>
      <c r="AB140" s="36"/>
    </row>
    <row r="141" ht="12.75" customHeight="1">
      <c r="A141" s="37"/>
      <c r="B141" s="41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AA141" s="36"/>
      <c r="AB141" s="36"/>
    </row>
    <row r="142" ht="12.75" customHeight="1">
      <c r="A142" s="37"/>
      <c r="B142" s="41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AA142" s="36"/>
      <c r="AB142" s="36"/>
    </row>
    <row r="143" ht="12.75" customHeight="1">
      <c r="A143" s="37"/>
      <c r="B143" s="41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AA143" s="36"/>
      <c r="AB143" s="36"/>
    </row>
    <row r="144" ht="12.75" customHeight="1">
      <c r="A144" s="37"/>
      <c r="B144" s="41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AA144" s="36"/>
      <c r="AB144" s="36"/>
    </row>
    <row r="145" ht="12.75" customHeight="1">
      <c r="A145" s="37"/>
      <c r="B145" s="41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AA145" s="36"/>
      <c r="AB145" s="36"/>
    </row>
    <row r="146" ht="12.75" customHeight="1">
      <c r="A146" s="37"/>
      <c r="B146" s="41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AA146" s="36"/>
      <c r="AB146" s="36"/>
    </row>
    <row r="147" ht="12.75" customHeight="1">
      <c r="A147" s="37"/>
      <c r="B147" s="41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AA147" s="36"/>
      <c r="AB147" s="36"/>
    </row>
    <row r="148" ht="12.75" customHeight="1">
      <c r="A148" s="37"/>
      <c r="B148" s="41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AA148" s="36"/>
      <c r="AB148" s="36"/>
    </row>
    <row r="149" ht="12.75" customHeight="1">
      <c r="A149" s="37"/>
      <c r="B149" s="41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AA149" s="36"/>
      <c r="AB149" s="36"/>
    </row>
    <row r="150" ht="12.75" customHeight="1">
      <c r="A150" s="37"/>
      <c r="B150" s="41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AA150" s="36"/>
      <c r="AB150" s="36"/>
    </row>
    <row r="151" ht="12.75" customHeight="1">
      <c r="A151" s="37"/>
      <c r="B151" s="41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AA151" s="36"/>
      <c r="AB151" s="36"/>
    </row>
    <row r="152" ht="12.75" customHeight="1">
      <c r="A152" s="37"/>
      <c r="B152" s="41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AA152" s="36"/>
      <c r="AB152" s="36"/>
    </row>
    <row r="153" ht="12.75" customHeight="1">
      <c r="A153" s="37"/>
      <c r="B153" s="41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AA153" s="36"/>
      <c r="AB153" s="36"/>
    </row>
    <row r="154" ht="12.75" customHeight="1">
      <c r="A154" s="37"/>
      <c r="B154" s="41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AA154" s="36"/>
      <c r="AB154" s="36"/>
    </row>
    <row r="155" ht="12.75" customHeight="1">
      <c r="A155" s="37"/>
      <c r="B155" s="41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AA155" s="36"/>
      <c r="AB155" s="36"/>
    </row>
    <row r="156" ht="12.75" customHeight="1">
      <c r="A156" s="37"/>
      <c r="B156" s="41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AA156" s="36"/>
      <c r="AB156" s="36"/>
    </row>
    <row r="157" ht="12.75" customHeight="1">
      <c r="A157" s="37"/>
      <c r="B157" s="41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AA157" s="36"/>
      <c r="AB157" s="36"/>
    </row>
    <row r="158" ht="12.75" customHeight="1">
      <c r="A158" s="37"/>
      <c r="B158" s="41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AA158" s="36"/>
      <c r="AB158" s="36"/>
    </row>
    <row r="159" ht="12.75" customHeight="1">
      <c r="A159" s="37"/>
      <c r="B159" s="41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AA159" s="36"/>
      <c r="AB159" s="36"/>
    </row>
    <row r="160" ht="12.75" customHeight="1">
      <c r="A160" s="37"/>
      <c r="B160" s="41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AA160" s="36"/>
      <c r="AB160" s="36"/>
    </row>
    <row r="161" ht="12.75" customHeight="1">
      <c r="A161" s="37"/>
      <c r="B161" s="41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AA161" s="36"/>
      <c r="AB161" s="36"/>
    </row>
    <row r="162" ht="12.75" customHeight="1">
      <c r="A162" s="37"/>
      <c r="B162" s="41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AA162" s="36"/>
      <c r="AB162" s="36"/>
    </row>
    <row r="163" ht="12.75" customHeight="1">
      <c r="A163" s="37"/>
      <c r="B163" s="41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AA163" s="36"/>
      <c r="AB163" s="36"/>
    </row>
    <row r="164" ht="12.75" customHeight="1">
      <c r="A164" s="37"/>
      <c r="B164" s="41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AA164" s="36"/>
      <c r="AB164" s="36"/>
    </row>
    <row r="165" ht="12.75" customHeight="1">
      <c r="A165" s="37"/>
      <c r="B165" s="41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AA165" s="36"/>
      <c r="AB165" s="36"/>
    </row>
    <row r="166" ht="12.75" customHeight="1">
      <c r="A166" s="37"/>
      <c r="B166" s="41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AA166" s="36"/>
      <c r="AB166" s="36"/>
    </row>
    <row r="167" ht="12.75" customHeight="1">
      <c r="A167" s="37"/>
      <c r="B167" s="41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AA167" s="36"/>
      <c r="AB167" s="36"/>
    </row>
    <row r="168" ht="12.75" customHeight="1">
      <c r="A168" s="37"/>
      <c r="B168" s="41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AA168" s="36"/>
      <c r="AB168" s="36"/>
    </row>
    <row r="169" ht="12.75" customHeight="1">
      <c r="A169" s="37"/>
      <c r="B169" s="41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AA169" s="36"/>
      <c r="AB169" s="36"/>
    </row>
    <row r="170" ht="12.75" customHeight="1">
      <c r="A170" s="37"/>
      <c r="B170" s="41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AA170" s="36"/>
      <c r="AB170" s="36"/>
    </row>
    <row r="171" ht="12.75" customHeight="1">
      <c r="A171" s="37"/>
      <c r="B171" s="41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AA171" s="36"/>
      <c r="AB171" s="36"/>
    </row>
    <row r="172" ht="12.75" customHeight="1">
      <c r="A172" s="37"/>
      <c r="B172" s="41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AA172" s="36"/>
      <c r="AB172" s="36"/>
    </row>
    <row r="173" ht="12.75" customHeight="1">
      <c r="A173" s="37"/>
      <c r="B173" s="41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AA173" s="36"/>
      <c r="AB173" s="36"/>
    </row>
    <row r="174" ht="12.75" customHeight="1">
      <c r="A174" s="37"/>
      <c r="B174" s="41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AA174" s="36"/>
      <c r="AB174" s="36"/>
    </row>
    <row r="175" ht="12.75" customHeight="1">
      <c r="A175" s="37"/>
      <c r="B175" s="41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AA175" s="36"/>
      <c r="AB175" s="36"/>
    </row>
    <row r="176" ht="12.75" customHeight="1">
      <c r="A176" s="37"/>
      <c r="B176" s="41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AA176" s="36"/>
      <c r="AB176" s="36"/>
    </row>
    <row r="177" ht="12.75" customHeight="1">
      <c r="A177" s="37"/>
      <c r="B177" s="41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AA177" s="36"/>
      <c r="AB177" s="36"/>
    </row>
    <row r="178" ht="12.75" customHeight="1">
      <c r="A178" s="37"/>
      <c r="B178" s="41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AA178" s="36"/>
      <c r="AB178" s="36"/>
    </row>
    <row r="179" ht="12.75" customHeight="1">
      <c r="A179" s="37"/>
      <c r="B179" s="41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AA179" s="36"/>
      <c r="AB179" s="36"/>
    </row>
    <row r="180" ht="12.75" customHeight="1">
      <c r="A180" s="37"/>
      <c r="B180" s="41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AA180" s="36"/>
      <c r="AB180" s="36"/>
    </row>
    <row r="181" ht="12.75" customHeight="1">
      <c r="A181" s="37"/>
      <c r="B181" s="41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AA181" s="36"/>
      <c r="AB181" s="36"/>
    </row>
    <row r="182" ht="12.75" customHeight="1">
      <c r="A182" s="37"/>
      <c r="B182" s="41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AA182" s="36"/>
      <c r="AB182" s="36"/>
    </row>
    <row r="183" ht="12.75" customHeight="1">
      <c r="A183" s="37"/>
      <c r="B183" s="41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AA183" s="36"/>
      <c r="AB183" s="36"/>
    </row>
    <row r="184" ht="12.75" customHeight="1">
      <c r="A184" s="37"/>
      <c r="B184" s="41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AA184" s="36"/>
      <c r="AB184" s="36"/>
    </row>
    <row r="185" ht="12.75" customHeight="1">
      <c r="A185" s="37"/>
      <c r="B185" s="41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AA185" s="36"/>
      <c r="AB185" s="36"/>
    </row>
    <row r="186" ht="12.75" customHeight="1">
      <c r="A186" s="37"/>
      <c r="B186" s="41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AA186" s="36"/>
      <c r="AB186" s="36"/>
    </row>
    <row r="187" ht="12.75" customHeight="1">
      <c r="A187" s="37"/>
      <c r="B187" s="41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AA187" s="36"/>
      <c r="AB187" s="36"/>
    </row>
    <row r="188" ht="12.75" customHeight="1">
      <c r="A188" s="37"/>
      <c r="B188" s="41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AA188" s="36"/>
      <c r="AB188" s="36"/>
    </row>
    <row r="189" ht="12.75" customHeight="1">
      <c r="A189" s="37"/>
      <c r="B189" s="41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AA189" s="36"/>
      <c r="AB189" s="36"/>
    </row>
    <row r="190" ht="12.75" customHeight="1">
      <c r="A190" s="37"/>
      <c r="B190" s="41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AA190" s="36"/>
      <c r="AB190" s="36"/>
    </row>
    <row r="191" ht="12.75" customHeight="1">
      <c r="A191" s="37"/>
      <c r="B191" s="41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AA191" s="36"/>
      <c r="AB191" s="36"/>
    </row>
    <row r="192" ht="12.75" customHeight="1">
      <c r="A192" s="37"/>
      <c r="B192" s="41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AA192" s="36"/>
      <c r="AB192" s="36"/>
    </row>
    <row r="193" ht="12.75" customHeight="1">
      <c r="A193" s="37"/>
      <c r="B193" s="41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AA193" s="36"/>
      <c r="AB193" s="36"/>
    </row>
    <row r="194" ht="12.75" customHeight="1">
      <c r="A194" s="37"/>
      <c r="B194" s="41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AA194" s="36"/>
      <c r="AB194" s="36"/>
    </row>
    <row r="195" ht="12.75" customHeight="1">
      <c r="A195" s="37"/>
      <c r="B195" s="41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AA195" s="36"/>
      <c r="AB195" s="36"/>
    </row>
    <row r="196" ht="12.75" customHeight="1">
      <c r="A196" s="37"/>
      <c r="B196" s="41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AA196" s="36"/>
      <c r="AB196" s="36"/>
    </row>
    <row r="197" ht="12.75" customHeight="1">
      <c r="A197" s="37"/>
      <c r="B197" s="41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AA197" s="36"/>
      <c r="AB197" s="36"/>
    </row>
    <row r="198" ht="12.75" customHeight="1">
      <c r="A198" s="37"/>
      <c r="B198" s="41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AA198" s="36"/>
      <c r="AB198" s="36"/>
    </row>
    <row r="199" ht="12.75" customHeight="1">
      <c r="A199" s="37"/>
      <c r="B199" s="41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AA199" s="36"/>
      <c r="AB199" s="36"/>
    </row>
    <row r="200" ht="12.75" customHeight="1">
      <c r="A200" s="37"/>
      <c r="B200" s="41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AA200" s="36"/>
      <c r="AB200" s="36"/>
    </row>
    <row r="201" ht="12.75" customHeight="1">
      <c r="A201" s="37"/>
      <c r="B201" s="41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AA201" s="36"/>
      <c r="AB201" s="36"/>
    </row>
    <row r="202" ht="12.75" customHeight="1">
      <c r="A202" s="37"/>
      <c r="B202" s="41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AA202" s="36"/>
      <c r="AB202" s="36"/>
    </row>
    <row r="203" ht="12.75" customHeight="1">
      <c r="A203" s="37"/>
      <c r="B203" s="41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AA203" s="36"/>
      <c r="AB203" s="36"/>
    </row>
    <row r="204" ht="12.75" customHeight="1">
      <c r="A204" s="37"/>
      <c r="B204" s="41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AA204" s="36"/>
      <c r="AB204" s="36"/>
    </row>
    <row r="205" ht="12.75" customHeight="1">
      <c r="A205" s="37"/>
      <c r="B205" s="41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AA205" s="36"/>
      <c r="AB205" s="36"/>
    </row>
    <row r="206" ht="12.75" customHeight="1">
      <c r="A206" s="37"/>
      <c r="B206" s="41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AA206" s="36"/>
      <c r="AB206" s="36"/>
    </row>
    <row r="207" ht="12.75" customHeight="1">
      <c r="A207" s="37"/>
      <c r="B207" s="41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AA207" s="36"/>
      <c r="AB207" s="36"/>
    </row>
    <row r="208" ht="12.75" customHeight="1">
      <c r="A208" s="37"/>
      <c r="B208" s="41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AA208" s="36"/>
      <c r="AB208" s="36"/>
    </row>
    <row r="209" ht="12.75" customHeight="1">
      <c r="A209" s="37"/>
      <c r="B209" s="41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AA209" s="36"/>
      <c r="AB209" s="36"/>
    </row>
    <row r="210" ht="12.75" customHeight="1">
      <c r="A210" s="37"/>
      <c r="B210" s="41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AA210" s="36"/>
      <c r="AB210" s="36"/>
    </row>
    <row r="211" ht="12.75" customHeight="1">
      <c r="A211" s="37"/>
      <c r="B211" s="41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AA211" s="36"/>
      <c r="AB211" s="36"/>
    </row>
    <row r="212" ht="12.75" customHeight="1">
      <c r="A212" s="37"/>
      <c r="B212" s="41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AA212" s="36"/>
      <c r="AB212" s="36"/>
    </row>
    <row r="213" ht="12.75" customHeight="1">
      <c r="A213" s="37"/>
      <c r="B213" s="41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AA213" s="36"/>
      <c r="AB213" s="36"/>
    </row>
    <row r="214" ht="12.75" customHeight="1">
      <c r="A214" s="37"/>
      <c r="B214" s="41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AA214" s="36"/>
      <c r="AB214" s="36"/>
    </row>
    <row r="215" ht="12.75" customHeight="1">
      <c r="A215" s="37"/>
      <c r="B215" s="41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AA215" s="36"/>
      <c r="AB215" s="36"/>
    </row>
    <row r="216" ht="12.75" customHeight="1">
      <c r="A216" s="37"/>
      <c r="B216" s="41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AA216" s="36"/>
      <c r="AB216" s="36"/>
    </row>
    <row r="217" ht="12.75" customHeight="1">
      <c r="A217" s="37"/>
      <c r="B217" s="41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AA217" s="36"/>
      <c r="AB217" s="36"/>
    </row>
    <row r="218" ht="12.75" customHeight="1">
      <c r="A218" s="37"/>
      <c r="B218" s="41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AA218" s="36"/>
      <c r="AB218" s="36"/>
    </row>
    <row r="219" ht="12.75" customHeight="1">
      <c r="A219" s="37"/>
      <c r="B219" s="41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AA219" s="36"/>
      <c r="AB219" s="36"/>
    </row>
    <row r="220" ht="12.75" customHeight="1">
      <c r="A220" s="37"/>
      <c r="B220" s="41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AA220" s="36"/>
      <c r="AB220" s="36"/>
    </row>
    <row r="221" ht="12.75" customHeight="1">
      <c r="A221" s="37"/>
      <c r="B221" s="41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AA221" s="36"/>
      <c r="AB221" s="36"/>
    </row>
    <row r="222" ht="12.75" customHeight="1">
      <c r="A222" s="37"/>
      <c r="B222" s="41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AA222" s="36"/>
      <c r="AB222" s="36"/>
    </row>
    <row r="223" ht="12.75" customHeight="1">
      <c r="A223" s="37"/>
      <c r="B223" s="41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AA223" s="36"/>
      <c r="AB223" s="36"/>
    </row>
    <row r="224" ht="12.75" customHeight="1">
      <c r="A224" s="37"/>
      <c r="B224" s="41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AA224" s="36"/>
      <c r="AB224" s="36"/>
    </row>
    <row r="225" ht="12.75" customHeight="1">
      <c r="A225" s="37"/>
      <c r="B225" s="41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AA225" s="36"/>
      <c r="AB225" s="36"/>
    </row>
    <row r="226" ht="12.75" customHeight="1">
      <c r="A226" s="37"/>
      <c r="B226" s="41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AA226" s="36"/>
      <c r="AB226" s="36"/>
    </row>
    <row r="227" ht="12.75" customHeight="1">
      <c r="A227" s="37"/>
      <c r="B227" s="41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AA227" s="36"/>
      <c r="AB227" s="36"/>
    </row>
    <row r="228" ht="12.75" customHeight="1">
      <c r="A228" s="37"/>
      <c r="B228" s="41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AA228" s="36"/>
      <c r="AB228" s="36"/>
    </row>
    <row r="229" ht="12.75" customHeight="1">
      <c r="A229" s="37"/>
      <c r="B229" s="41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AA229" s="36"/>
      <c r="AB229" s="36"/>
    </row>
    <row r="230" ht="12.75" customHeight="1">
      <c r="A230" s="37"/>
      <c r="B230" s="41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AA230" s="36"/>
      <c r="AB230" s="36"/>
    </row>
    <row r="231" ht="12.75" customHeight="1">
      <c r="A231" s="37"/>
      <c r="B231" s="41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AA231" s="36"/>
      <c r="AB231" s="36"/>
    </row>
    <row r="232" ht="12.75" customHeight="1">
      <c r="A232" s="37"/>
      <c r="B232" s="41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AA232" s="36"/>
      <c r="AB232" s="36"/>
    </row>
    <row r="233" ht="12.75" customHeight="1">
      <c r="A233" s="37"/>
      <c r="B233" s="41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AA233" s="36"/>
      <c r="AB233" s="36"/>
    </row>
    <row r="234" ht="12.75" customHeight="1">
      <c r="A234" s="37"/>
      <c r="B234" s="41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AA234" s="36"/>
      <c r="AB234" s="36"/>
    </row>
    <row r="235" ht="12.75" customHeight="1">
      <c r="A235" s="37"/>
      <c r="B235" s="41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AA235" s="36"/>
      <c r="AB235" s="36"/>
    </row>
    <row r="236" ht="12.75" customHeight="1">
      <c r="A236" s="37"/>
      <c r="B236" s="41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AA236" s="36"/>
      <c r="AB236" s="36"/>
    </row>
    <row r="237" ht="12.75" customHeight="1">
      <c r="A237" s="37"/>
      <c r="B237" s="41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AA237" s="36"/>
      <c r="AB237" s="36"/>
    </row>
    <row r="238" ht="12.75" customHeight="1">
      <c r="A238" s="37"/>
      <c r="B238" s="41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AA238" s="36"/>
      <c r="AB238" s="36"/>
    </row>
    <row r="239" ht="12.75" customHeight="1">
      <c r="A239" s="37"/>
      <c r="B239" s="41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AA239" s="36"/>
      <c r="AB239" s="36"/>
    </row>
    <row r="240" ht="12.75" customHeight="1">
      <c r="A240" s="37"/>
      <c r="B240" s="41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AA240" s="36"/>
      <c r="AB240" s="36"/>
    </row>
    <row r="241" ht="12.75" customHeight="1">
      <c r="A241" s="37"/>
      <c r="B241" s="41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AA241" s="36"/>
      <c r="AB241" s="36"/>
    </row>
    <row r="242" ht="12.75" customHeight="1">
      <c r="A242" s="37"/>
      <c r="B242" s="41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AA242" s="36"/>
      <c r="AB242" s="36"/>
    </row>
    <row r="243" ht="12.75" customHeight="1">
      <c r="A243" s="37"/>
      <c r="B243" s="41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AA243" s="36"/>
      <c r="AB243" s="36"/>
    </row>
    <row r="244" ht="12.75" customHeight="1">
      <c r="A244" s="37"/>
      <c r="B244" s="41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AA244" s="36"/>
      <c r="AB244" s="36"/>
    </row>
    <row r="245" ht="12.75" customHeight="1">
      <c r="A245" s="37"/>
      <c r="B245" s="41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AA245" s="36"/>
      <c r="AB245" s="36"/>
    </row>
    <row r="246" ht="12.75" customHeight="1">
      <c r="A246" s="37"/>
      <c r="B246" s="41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AA246" s="36"/>
      <c r="AB246" s="36"/>
    </row>
    <row r="247" ht="12.75" customHeight="1">
      <c r="A247" s="37"/>
      <c r="B247" s="41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AA247" s="36"/>
      <c r="AB247" s="36"/>
    </row>
    <row r="248" ht="12.75" customHeight="1">
      <c r="A248" s="37"/>
      <c r="B248" s="41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AA248" s="36"/>
      <c r="AB248" s="36"/>
    </row>
    <row r="249" ht="12.75" customHeight="1">
      <c r="A249" s="37"/>
      <c r="B249" s="41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AA249" s="36"/>
      <c r="AB249" s="36"/>
    </row>
    <row r="250" ht="12.75" customHeight="1">
      <c r="A250" s="37"/>
      <c r="B250" s="41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AA250" s="36"/>
      <c r="AB250" s="36"/>
    </row>
    <row r="251" ht="12.75" customHeight="1">
      <c r="A251" s="37"/>
      <c r="B251" s="41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AA251" s="36"/>
      <c r="AB251" s="36"/>
    </row>
    <row r="252" ht="12.75" customHeight="1">
      <c r="A252" s="37"/>
      <c r="B252" s="41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AA252" s="36"/>
      <c r="AB252" s="36"/>
    </row>
    <row r="253" ht="12.75" customHeight="1">
      <c r="A253" s="37"/>
      <c r="B253" s="41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AA253" s="36"/>
      <c r="AB253" s="36"/>
    </row>
    <row r="254" ht="12.75" customHeight="1">
      <c r="A254" s="37"/>
      <c r="B254" s="41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AA254" s="36"/>
      <c r="AB254" s="36"/>
    </row>
    <row r="255" ht="12.75" customHeight="1">
      <c r="A255" s="37"/>
      <c r="B255" s="41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AA255" s="36"/>
      <c r="AB255" s="36"/>
    </row>
    <row r="256" ht="12.75" customHeight="1">
      <c r="A256" s="37"/>
      <c r="B256" s="41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AA256" s="36"/>
      <c r="AB256" s="36"/>
    </row>
    <row r="257" ht="12.75" customHeight="1">
      <c r="A257" s="37"/>
      <c r="B257" s="41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AA257" s="36"/>
      <c r="AB257" s="36"/>
    </row>
    <row r="258" ht="12.75" customHeight="1">
      <c r="A258" s="37"/>
      <c r="B258" s="41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AA258" s="36"/>
      <c r="AB258" s="36"/>
    </row>
    <row r="259" ht="12.75" customHeight="1">
      <c r="A259" s="37"/>
      <c r="B259" s="41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AA259" s="36"/>
      <c r="AB259" s="36"/>
    </row>
    <row r="260" ht="12.75" customHeight="1">
      <c r="A260" s="37"/>
      <c r="B260" s="41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AA260" s="36"/>
      <c r="AB260" s="36"/>
    </row>
    <row r="261" ht="12.75" customHeight="1">
      <c r="A261" s="37"/>
      <c r="B261" s="41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AA261" s="36"/>
      <c r="AB261" s="36"/>
    </row>
    <row r="262" ht="12.75" customHeight="1">
      <c r="A262" s="37"/>
      <c r="B262" s="41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AA262" s="36"/>
      <c r="AB262" s="36"/>
    </row>
    <row r="263" ht="12.75" customHeight="1">
      <c r="A263" s="37"/>
      <c r="B263" s="41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AA263" s="36"/>
      <c r="AB263" s="36"/>
    </row>
    <row r="264" ht="12.75" customHeight="1">
      <c r="A264" s="37"/>
      <c r="B264" s="41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AA264" s="36"/>
      <c r="AB264" s="36"/>
    </row>
    <row r="265" ht="12.75" customHeight="1">
      <c r="A265" s="37"/>
      <c r="B265" s="41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AA265" s="36"/>
      <c r="AB265" s="36"/>
    </row>
    <row r="266" ht="12.75" customHeight="1">
      <c r="A266" s="37"/>
      <c r="B266" s="41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AA266" s="36"/>
      <c r="AB266" s="36"/>
    </row>
    <row r="267" ht="12.75" customHeight="1">
      <c r="A267" s="37"/>
      <c r="B267" s="41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AA267" s="36"/>
      <c r="AB267" s="36"/>
    </row>
    <row r="268" ht="12.75" customHeight="1">
      <c r="A268" s="37"/>
      <c r="B268" s="41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AA268" s="36"/>
      <c r="AB268" s="36"/>
    </row>
    <row r="269" ht="12.75" customHeight="1">
      <c r="A269" s="37"/>
      <c r="B269" s="41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AA269" s="36"/>
      <c r="AB269" s="36"/>
    </row>
    <row r="270" ht="12.75" customHeight="1">
      <c r="A270" s="37"/>
      <c r="B270" s="41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AA270" s="36"/>
      <c r="AB270" s="36"/>
    </row>
    <row r="271" ht="12.75" customHeight="1">
      <c r="A271" s="37"/>
      <c r="B271" s="41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AA271" s="36"/>
      <c r="AB271" s="36"/>
    </row>
    <row r="272" ht="12.75" customHeight="1">
      <c r="A272" s="37"/>
      <c r="B272" s="41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AA272" s="36"/>
      <c r="AB272" s="36"/>
    </row>
    <row r="273" ht="12.75" customHeight="1">
      <c r="A273" s="37"/>
      <c r="B273" s="41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AA273" s="36"/>
      <c r="AB273" s="36"/>
    </row>
    <row r="274" ht="12.75" customHeight="1">
      <c r="A274" s="37"/>
      <c r="B274" s="41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AA274" s="36"/>
      <c r="AB274" s="36"/>
    </row>
    <row r="275" ht="12.75" customHeight="1">
      <c r="A275" s="37"/>
      <c r="B275" s="41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AA275" s="36"/>
      <c r="AB275" s="36"/>
    </row>
    <row r="276" ht="12.75" customHeight="1">
      <c r="A276" s="37"/>
      <c r="B276" s="41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AA276" s="36"/>
      <c r="AB276" s="36"/>
    </row>
    <row r="277" ht="12.75" customHeight="1">
      <c r="A277" s="58"/>
      <c r="B277" s="59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AA277" s="36"/>
      <c r="AB277" s="36"/>
    </row>
    <row r="278" ht="12.75" customHeight="1">
      <c r="A278" s="58"/>
      <c r="B278" s="59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AA278" s="36"/>
      <c r="AB278" s="36"/>
    </row>
    <row r="279" ht="12.75" customHeight="1">
      <c r="A279" s="58"/>
      <c r="B279" s="59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AA279" s="36"/>
      <c r="AB279" s="36"/>
    </row>
    <row r="280" ht="12.75" customHeight="1">
      <c r="A280" s="58"/>
      <c r="B280" s="59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AA280" s="36"/>
      <c r="AB280" s="36"/>
    </row>
    <row r="281" ht="12.75" customHeight="1">
      <c r="A281" s="58"/>
      <c r="B281" s="59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AA281" s="36"/>
      <c r="AB281" s="36"/>
    </row>
    <row r="282" ht="12.75" customHeight="1">
      <c r="A282" s="58"/>
      <c r="B282" s="59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AA282" s="36"/>
      <c r="AB282" s="36"/>
    </row>
    <row r="283" ht="12.75" customHeight="1">
      <c r="A283" s="58"/>
      <c r="B283" s="59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AA283" s="36"/>
      <c r="AB283" s="36"/>
    </row>
    <row r="284" ht="12.75" customHeight="1">
      <c r="A284" s="58"/>
      <c r="B284" s="59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AA284" s="36"/>
      <c r="AB284" s="36"/>
    </row>
    <row r="285" ht="12.75" customHeight="1">
      <c r="A285" s="58"/>
      <c r="B285" s="59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AA285" s="36"/>
      <c r="AB285" s="36"/>
    </row>
    <row r="286" ht="12.75" customHeight="1">
      <c r="A286" s="58"/>
      <c r="B286" s="59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AA286" s="36"/>
      <c r="AB286" s="36"/>
    </row>
    <row r="287" ht="12.75" customHeight="1">
      <c r="A287" s="58"/>
      <c r="B287" s="59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AA287" s="36"/>
      <c r="AB287" s="36"/>
    </row>
    <row r="288" ht="12.75" customHeight="1">
      <c r="A288" s="58"/>
      <c r="B288" s="59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AA288" s="36"/>
      <c r="AB288" s="36"/>
    </row>
    <row r="289" ht="12.75" customHeight="1">
      <c r="A289" s="58"/>
      <c r="B289" s="59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AA289" s="36"/>
      <c r="AB289" s="36"/>
    </row>
    <row r="290" ht="12.75" customHeight="1">
      <c r="A290" s="58"/>
      <c r="B290" s="59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AA290" s="36"/>
      <c r="AB290" s="36"/>
    </row>
    <row r="291" ht="12.75" customHeight="1">
      <c r="A291" s="58"/>
      <c r="B291" s="59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AA291" s="36"/>
      <c r="AB291" s="36"/>
    </row>
    <row r="292" ht="12.75" customHeight="1">
      <c r="A292" s="58"/>
      <c r="B292" s="59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AA292" s="36"/>
      <c r="AB292" s="36"/>
    </row>
    <row r="293" ht="12.75" customHeight="1">
      <c r="A293" s="58"/>
      <c r="B293" s="59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AA293" s="36"/>
      <c r="AB293" s="36"/>
    </row>
    <row r="294" ht="12.75" customHeight="1">
      <c r="A294" s="58"/>
      <c r="B294" s="59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AA294" s="36"/>
      <c r="AB294" s="36"/>
    </row>
    <row r="295" ht="12.75" customHeight="1">
      <c r="A295" s="58"/>
      <c r="B295" s="59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AA295" s="36"/>
      <c r="AB295" s="36"/>
    </row>
    <row r="296" ht="12.75" customHeight="1">
      <c r="A296" s="58"/>
      <c r="B296" s="59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AA296" s="36"/>
      <c r="AB296" s="36"/>
    </row>
    <row r="297" ht="12.75" customHeight="1">
      <c r="A297" s="58"/>
      <c r="B297" s="59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AA297" s="36"/>
      <c r="AB297" s="36"/>
    </row>
    <row r="298" ht="12.75" customHeight="1">
      <c r="A298" s="58"/>
      <c r="B298" s="59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AA298" s="36"/>
      <c r="AB298" s="36"/>
    </row>
    <row r="299" ht="12.75" customHeight="1">
      <c r="A299" s="58"/>
      <c r="B299" s="59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AA299" s="36"/>
      <c r="AB299" s="36"/>
    </row>
    <row r="300" ht="12.75" customHeight="1">
      <c r="A300" s="58"/>
      <c r="B300" s="59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AA300" s="36"/>
      <c r="AB300" s="36"/>
    </row>
    <row r="301" ht="12.75" customHeight="1">
      <c r="A301" s="58"/>
      <c r="B301" s="59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AA301" s="36"/>
      <c r="AB301" s="36"/>
    </row>
    <row r="302" ht="12.75" customHeight="1">
      <c r="A302" s="58"/>
      <c r="B302" s="59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AA302" s="36"/>
      <c r="AB302" s="36"/>
    </row>
    <row r="303" ht="12.75" customHeight="1">
      <c r="A303" s="58"/>
      <c r="B303" s="59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AA303" s="36"/>
      <c r="AB303" s="36"/>
    </row>
    <row r="304" ht="12.75" customHeight="1">
      <c r="A304" s="58"/>
      <c r="B304" s="59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AA304" s="36"/>
      <c r="AB304" s="36"/>
    </row>
    <row r="305" ht="12.75" customHeight="1">
      <c r="A305" s="58"/>
      <c r="B305" s="59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AA305" s="36"/>
      <c r="AB305" s="36"/>
    </row>
    <row r="306" ht="12.75" customHeight="1">
      <c r="A306" s="58"/>
      <c r="B306" s="59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AA306" s="36"/>
      <c r="AB306" s="36"/>
    </row>
    <row r="307" ht="12.75" customHeight="1">
      <c r="A307" s="58"/>
      <c r="B307" s="59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AA307" s="36"/>
      <c r="AB307" s="36"/>
    </row>
    <row r="308" ht="12.75" customHeight="1">
      <c r="A308" s="58"/>
      <c r="B308" s="59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AA308" s="36"/>
      <c r="AB308" s="36"/>
    </row>
    <row r="309" ht="12.75" customHeight="1">
      <c r="A309" s="58"/>
      <c r="B309" s="59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AA309" s="36"/>
      <c r="AB309" s="36"/>
    </row>
    <row r="310" ht="12.75" customHeight="1">
      <c r="A310" s="58"/>
      <c r="B310" s="59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AA310" s="36"/>
      <c r="AB310" s="36"/>
    </row>
    <row r="311" ht="12.75" customHeight="1">
      <c r="A311" s="58"/>
      <c r="B311" s="59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AA311" s="36"/>
      <c r="AB311" s="36"/>
    </row>
    <row r="312" ht="12.75" customHeight="1">
      <c r="A312" s="58"/>
      <c r="B312" s="59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AA312" s="36"/>
      <c r="AB312" s="36"/>
    </row>
    <row r="313" ht="12.75" customHeight="1">
      <c r="A313" s="58"/>
      <c r="B313" s="59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AA313" s="36"/>
      <c r="AB313" s="36"/>
    </row>
    <row r="314" ht="12.75" customHeight="1">
      <c r="A314" s="58"/>
      <c r="B314" s="59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AA314" s="36"/>
      <c r="AB314" s="36"/>
    </row>
    <row r="315" ht="12.75" customHeight="1">
      <c r="A315" s="58"/>
      <c r="B315" s="59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AA315" s="36"/>
      <c r="AB315" s="36"/>
    </row>
    <row r="316" ht="12.75" customHeight="1">
      <c r="A316" s="58"/>
      <c r="B316" s="59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AA316" s="36"/>
      <c r="AB316" s="36"/>
    </row>
    <row r="317" ht="12.75" customHeight="1">
      <c r="A317" s="58"/>
      <c r="B317" s="59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AA317" s="36"/>
      <c r="AB317" s="36"/>
    </row>
    <row r="318" ht="12.75" customHeight="1">
      <c r="A318" s="58"/>
      <c r="B318" s="59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AA318" s="36"/>
      <c r="AB318" s="36"/>
    </row>
    <row r="319" ht="12.75" customHeight="1">
      <c r="A319" s="58"/>
      <c r="B319" s="59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AA319" s="36"/>
      <c r="AB319" s="36"/>
    </row>
    <row r="320" ht="12.75" customHeight="1">
      <c r="A320" s="58"/>
      <c r="B320" s="59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AA320" s="36"/>
      <c r="AB320" s="36"/>
    </row>
    <row r="321" ht="12.75" customHeight="1">
      <c r="A321" s="58"/>
      <c r="B321" s="59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AA321" s="36"/>
      <c r="AB321" s="36"/>
    </row>
    <row r="322" ht="12.75" customHeight="1">
      <c r="A322" s="58"/>
      <c r="B322" s="59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AA322" s="36"/>
      <c r="AB322" s="36"/>
    </row>
    <row r="323" ht="12.75" customHeight="1">
      <c r="A323" s="58"/>
      <c r="B323" s="59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AA323" s="36"/>
      <c r="AB323" s="36"/>
    </row>
    <row r="324" ht="12.75" customHeight="1">
      <c r="A324" s="58"/>
      <c r="B324" s="59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AA324" s="36"/>
      <c r="AB324" s="36"/>
    </row>
    <row r="325" ht="12.75" customHeight="1">
      <c r="A325" s="58"/>
      <c r="B325" s="59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AA325" s="36"/>
      <c r="AB325" s="36"/>
    </row>
    <row r="326" ht="12.75" customHeight="1">
      <c r="A326" s="58"/>
      <c r="B326" s="59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AA326" s="36"/>
      <c r="AB326" s="36"/>
    </row>
    <row r="327" ht="12.75" customHeight="1">
      <c r="A327" s="58"/>
      <c r="B327" s="59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AA327" s="36"/>
      <c r="AB327" s="36"/>
    </row>
    <row r="328" ht="12.75" customHeight="1">
      <c r="A328" s="58"/>
      <c r="B328" s="59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AA328" s="36"/>
      <c r="AB328" s="36"/>
    </row>
    <row r="329" ht="12.75" customHeight="1">
      <c r="A329" s="58"/>
      <c r="B329" s="59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AA329" s="36"/>
      <c r="AB329" s="36"/>
    </row>
    <row r="330" ht="12.75" customHeight="1">
      <c r="A330" s="58"/>
      <c r="B330" s="59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AA330" s="36"/>
      <c r="AB330" s="36"/>
    </row>
    <row r="331" ht="12.75" customHeight="1">
      <c r="A331" s="58"/>
      <c r="B331" s="59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AA331" s="36"/>
      <c r="AB331" s="36"/>
    </row>
    <row r="332" ht="12.75" customHeight="1">
      <c r="A332" s="58"/>
      <c r="B332" s="59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AA332" s="36"/>
      <c r="AB332" s="36"/>
    </row>
    <row r="333" ht="12.75" customHeight="1">
      <c r="A333" s="58"/>
      <c r="B333" s="59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AA333" s="36"/>
      <c r="AB333" s="36"/>
    </row>
    <row r="334" ht="12.75" customHeight="1">
      <c r="A334" s="58"/>
      <c r="B334" s="59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AA334" s="36"/>
      <c r="AB334" s="36"/>
    </row>
    <row r="335" ht="12.75" customHeight="1">
      <c r="A335" s="58"/>
      <c r="B335" s="59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AA335" s="36"/>
      <c r="AB335" s="36"/>
    </row>
    <row r="336" ht="12.75" customHeight="1">
      <c r="A336" s="58"/>
      <c r="B336" s="59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AA336" s="36"/>
      <c r="AB336" s="36"/>
    </row>
    <row r="337" ht="12.75" customHeight="1">
      <c r="A337" s="58"/>
      <c r="B337" s="59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AA337" s="36"/>
      <c r="AB337" s="36"/>
    </row>
    <row r="338" ht="12.75" customHeight="1">
      <c r="A338" s="58"/>
      <c r="B338" s="59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AA338" s="36"/>
      <c r="AB338" s="36"/>
    </row>
    <row r="339" ht="12.75" customHeight="1">
      <c r="A339" s="58"/>
      <c r="B339" s="59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AA339" s="36"/>
      <c r="AB339" s="36"/>
    </row>
    <row r="340" ht="12.75" customHeight="1">
      <c r="A340" s="58"/>
      <c r="B340" s="59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AA340" s="36"/>
      <c r="AB340" s="36"/>
    </row>
    <row r="341" ht="12.75" customHeight="1">
      <c r="A341" s="58"/>
      <c r="B341" s="59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AA341" s="36"/>
      <c r="AB341" s="36"/>
    </row>
    <row r="342" ht="12.75" customHeight="1">
      <c r="A342" s="58"/>
      <c r="B342" s="59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AA342" s="36"/>
      <c r="AB342" s="36"/>
    </row>
    <row r="343" ht="12.75" customHeight="1">
      <c r="A343" s="58"/>
      <c r="B343" s="59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AA343" s="36"/>
      <c r="AB343" s="36"/>
    </row>
    <row r="344" ht="12.75" customHeight="1">
      <c r="A344" s="58"/>
      <c r="B344" s="59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AA344" s="36"/>
      <c r="AB344" s="36"/>
    </row>
    <row r="345" ht="12.75" customHeight="1">
      <c r="A345" s="58"/>
      <c r="B345" s="59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AA345" s="36"/>
      <c r="AB345" s="36"/>
    </row>
    <row r="346" ht="12.75" customHeight="1">
      <c r="A346" s="58"/>
      <c r="B346" s="59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AA346" s="36"/>
      <c r="AB346" s="36"/>
    </row>
    <row r="347" ht="12.75" customHeight="1">
      <c r="A347" s="58"/>
      <c r="B347" s="59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AA347" s="36"/>
      <c r="AB347" s="36"/>
    </row>
    <row r="348" ht="12.75" customHeight="1">
      <c r="A348" s="58"/>
      <c r="B348" s="59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AA348" s="36"/>
      <c r="AB348" s="36"/>
    </row>
    <row r="349" ht="12.75" customHeight="1">
      <c r="A349" s="58"/>
      <c r="B349" s="59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AA349" s="36"/>
      <c r="AB349" s="36"/>
    </row>
    <row r="350" ht="12.75" customHeight="1">
      <c r="A350" s="58"/>
      <c r="B350" s="59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AA350" s="36"/>
      <c r="AB350" s="36"/>
    </row>
    <row r="351" ht="12.75" customHeight="1">
      <c r="A351" s="58"/>
      <c r="B351" s="59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AA351" s="36"/>
      <c r="AB351" s="36"/>
    </row>
    <row r="352" ht="12.75" customHeight="1">
      <c r="A352" s="58"/>
      <c r="B352" s="59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AA352" s="36"/>
      <c r="AB352" s="36"/>
    </row>
    <row r="353" ht="12.75" customHeight="1">
      <c r="A353" s="58"/>
      <c r="B353" s="59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AA353" s="36"/>
      <c r="AB353" s="36"/>
    </row>
    <row r="354" ht="12.75" customHeight="1">
      <c r="A354" s="58"/>
      <c r="B354" s="59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AA354" s="36"/>
      <c r="AB354" s="36"/>
    </row>
    <row r="355" ht="12.75" customHeight="1">
      <c r="A355" s="58"/>
      <c r="B355" s="59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AA355" s="36"/>
      <c r="AB355" s="36"/>
    </row>
    <row r="356" ht="12.75" customHeight="1">
      <c r="A356" s="58"/>
      <c r="B356" s="59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AA356" s="36"/>
      <c r="AB356" s="36"/>
    </row>
    <row r="357" ht="12.75" customHeight="1">
      <c r="A357" s="58"/>
      <c r="B357" s="59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AA357" s="36"/>
      <c r="AB357" s="36"/>
    </row>
    <row r="358" ht="12.75" customHeight="1">
      <c r="A358" s="58"/>
      <c r="B358" s="59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AA358" s="36"/>
      <c r="AB358" s="36"/>
    </row>
    <row r="359" ht="12.75" customHeight="1">
      <c r="A359" s="58"/>
      <c r="B359" s="59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AA359" s="36"/>
      <c r="AB359" s="36"/>
    </row>
    <row r="360" ht="12.75" customHeight="1">
      <c r="A360" s="58"/>
      <c r="B360" s="59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AA360" s="36"/>
      <c r="AB360" s="36"/>
    </row>
    <row r="361" ht="12.75" customHeight="1">
      <c r="A361" s="58"/>
      <c r="B361" s="59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AA361" s="36"/>
      <c r="AB361" s="36"/>
    </row>
    <row r="362" ht="12.75" customHeight="1">
      <c r="A362" s="58"/>
      <c r="B362" s="59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AA362" s="36"/>
      <c r="AB362" s="36"/>
    </row>
    <row r="363" ht="12.75" customHeight="1">
      <c r="A363" s="58"/>
      <c r="B363" s="59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AA363" s="36"/>
      <c r="AB363" s="36"/>
    </row>
    <row r="364" ht="12.75" customHeight="1">
      <c r="A364" s="58"/>
      <c r="B364" s="59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AA364" s="36"/>
      <c r="AB364" s="36"/>
    </row>
    <row r="365" ht="12.75" customHeight="1">
      <c r="A365" s="58"/>
      <c r="B365" s="59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AA365" s="36"/>
      <c r="AB365" s="36"/>
    </row>
    <row r="366" ht="12.75" customHeight="1">
      <c r="A366" s="58"/>
      <c r="B366" s="59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AA366" s="36"/>
      <c r="AB366" s="36"/>
    </row>
    <row r="367" ht="12.75" customHeight="1">
      <c r="A367" s="58"/>
      <c r="B367" s="59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AA367" s="36"/>
      <c r="AB367" s="36"/>
    </row>
    <row r="368" ht="12.75" customHeight="1">
      <c r="A368" s="58"/>
      <c r="B368" s="59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AA368" s="36"/>
      <c r="AB368" s="36"/>
    </row>
    <row r="369" ht="12.75" customHeight="1">
      <c r="A369" s="58"/>
      <c r="B369" s="59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AA369" s="36"/>
      <c r="AB369" s="36"/>
    </row>
    <row r="370" ht="12.75" customHeight="1">
      <c r="A370" s="58"/>
      <c r="B370" s="59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AA370" s="36"/>
      <c r="AB370" s="36"/>
    </row>
    <row r="371" ht="12.75" customHeight="1">
      <c r="A371" s="58"/>
      <c r="B371" s="59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AA371" s="36"/>
      <c r="AB371" s="36"/>
    </row>
    <row r="372" ht="12.75" customHeight="1">
      <c r="A372" s="58"/>
      <c r="B372" s="59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AA372" s="36"/>
      <c r="AB372" s="36"/>
    </row>
    <row r="373" ht="12.75" customHeight="1">
      <c r="A373" s="58"/>
      <c r="B373" s="59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AA373" s="36"/>
      <c r="AB373" s="36"/>
    </row>
    <row r="374" ht="12.75" customHeight="1">
      <c r="A374" s="58"/>
      <c r="B374" s="59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AA374" s="36"/>
      <c r="AB374" s="36"/>
    </row>
    <row r="375" ht="12.75" customHeight="1">
      <c r="A375" s="58"/>
      <c r="B375" s="59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AA375" s="36"/>
      <c r="AB375" s="36"/>
    </row>
    <row r="376" ht="12.75" customHeight="1">
      <c r="A376" s="58"/>
      <c r="B376" s="59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AA376" s="36"/>
      <c r="AB376" s="36"/>
    </row>
    <row r="377" ht="12.75" customHeight="1">
      <c r="A377" s="58"/>
      <c r="B377" s="59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AA377" s="36"/>
      <c r="AB377" s="36"/>
    </row>
    <row r="378" ht="12.75" customHeight="1">
      <c r="A378" s="58"/>
      <c r="B378" s="59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AA378" s="36"/>
      <c r="AB378" s="36"/>
    </row>
    <row r="379" ht="12.75" customHeight="1">
      <c r="A379" s="58"/>
      <c r="B379" s="59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AA379" s="36"/>
      <c r="AB379" s="36"/>
    </row>
    <row r="380" ht="12.75" customHeight="1">
      <c r="A380" s="58"/>
      <c r="B380" s="59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AA380" s="36"/>
      <c r="AB380" s="36"/>
    </row>
    <row r="381" ht="12.75" customHeight="1">
      <c r="A381" s="58"/>
      <c r="B381" s="59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AA381" s="36"/>
      <c r="AB381" s="36"/>
    </row>
    <row r="382" ht="12.75" customHeight="1">
      <c r="A382" s="58"/>
      <c r="B382" s="59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AA382" s="36"/>
      <c r="AB382" s="36"/>
    </row>
    <row r="383" ht="12.75" customHeight="1">
      <c r="A383" s="58"/>
      <c r="B383" s="59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AA383" s="36"/>
      <c r="AB383" s="36"/>
    </row>
    <row r="384" ht="12.75" customHeight="1">
      <c r="A384" s="58"/>
      <c r="B384" s="59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AA384" s="36"/>
      <c r="AB384" s="36"/>
    </row>
    <row r="385" ht="12.75" customHeight="1">
      <c r="A385" s="58"/>
      <c r="B385" s="59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AA385" s="36"/>
      <c r="AB385" s="36"/>
    </row>
    <row r="386" ht="12.75" customHeight="1">
      <c r="A386" s="58"/>
      <c r="B386" s="59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AA386" s="36"/>
      <c r="AB386" s="36"/>
    </row>
    <row r="387" ht="12.75" customHeight="1">
      <c r="A387" s="58"/>
      <c r="B387" s="59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AA387" s="36"/>
      <c r="AB387" s="36"/>
    </row>
    <row r="388" ht="12.75" customHeight="1">
      <c r="A388" s="58"/>
      <c r="B388" s="59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AA388" s="36"/>
      <c r="AB388" s="36"/>
    </row>
    <row r="389" ht="12.75" customHeight="1">
      <c r="A389" s="58"/>
      <c r="B389" s="59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AA389" s="36"/>
      <c r="AB389" s="36"/>
    </row>
    <row r="390" ht="12.75" customHeight="1">
      <c r="A390" s="58"/>
      <c r="B390" s="59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AA390" s="36"/>
      <c r="AB390" s="36"/>
    </row>
    <row r="391" ht="12.75" customHeight="1">
      <c r="A391" s="58"/>
      <c r="B391" s="59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AA391" s="36"/>
      <c r="AB391" s="36"/>
    </row>
    <row r="392" ht="12.75" customHeight="1">
      <c r="A392" s="58"/>
      <c r="B392" s="59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AA392" s="36"/>
      <c r="AB392" s="36"/>
    </row>
    <row r="393" ht="12.75" customHeight="1">
      <c r="A393" s="58"/>
      <c r="B393" s="59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AA393" s="36"/>
      <c r="AB393" s="36"/>
    </row>
    <row r="394" ht="12.75" customHeight="1">
      <c r="A394" s="58"/>
      <c r="B394" s="59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AA394" s="36"/>
      <c r="AB394" s="36"/>
    </row>
    <row r="395" ht="12.75" customHeight="1">
      <c r="A395" s="58"/>
      <c r="B395" s="59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AA395" s="36"/>
      <c r="AB395" s="36"/>
    </row>
    <row r="396" ht="12.75" customHeight="1">
      <c r="A396" s="58"/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AA396" s="36"/>
      <c r="AB396" s="36"/>
    </row>
    <row r="397" ht="12.75" customHeight="1">
      <c r="A397" s="58"/>
      <c r="B397" s="59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AA397" s="36"/>
      <c r="AB397" s="36"/>
    </row>
    <row r="398" ht="12.75" customHeight="1">
      <c r="A398" s="58"/>
      <c r="B398" s="59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AA398" s="36"/>
      <c r="AB398" s="36"/>
    </row>
    <row r="399" ht="12.75" customHeight="1">
      <c r="A399" s="58"/>
      <c r="B399" s="59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AA399" s="36"/>
      <c r="AB399" s="36"/>
    </row>
    <row r="400" ht="12.75" customHeight="1">
      <c r="A400" s="58"/>
      <c r="B400" s="59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AA400" s="36"/>
      <c r="AB400" s="36"/>
    </row>
    <row r="401" ht="12.75" customHeight="1">
      <c r="A401" s="58"/>
      <c r="B401" s="59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AA401" s="36"/>
      <c r="AB401" s="36"/>
    </row>
    <row r="402" ht="12.75" customHeight="1">
      <c r="A402" s="58"/>
      <c r="B402" s="59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AA402" s="36"/>
      <c r="AB402" s="36"/>
    </row>
    <row r="403" ht="12.75" customHeight="1">
      <c r="A403" s="58"/>
      <c r="B403" s="59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AA403" s="36"/>
      <c r="AB403" s="36"/>
    </row>
    <row r="404" ht="12.75" customHeight="1">
      <c r="A404" s="58"/>
      <c r="B404" s="59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AA404" s="36"/>
      <c r="AB404" s="36"/>
    </row>
    <row r="405" ht="12.75" customHeight="1">
      <c r="A405" s="58"/>
      <c r="B405" s="59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AA405" s="36"/>
      <c r="AB405" s="36"/>
    </row>
    <row r="406" ht="12.75" customHeight="1">
      <c r="A406" s="58"/>
      <c r="B406" s="59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AA406" s="36"/>
      <c r="AB406" s="36"/>
    </row>
    <row r="407" ht="12.75" customHeight="1">
      <c r="A407" s="58"/>
      <c r="B407" s="59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AA407" s="36"/>
      <c r="AB407" s="36"/>
    </row>
    <row r="408" ht="12.75" customHeight="1">
      <c r="A408" s="58"/>
      <c r="B408" s="59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AA408" s="36"/>
      <c r="AB408" s="36"/>
    </row>
    <row r="409" ht="12.75" customHeight="1">
      <c r="A409" s="58"/>
      <c r="B409" s="59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AA409" s="36"/>
      <c r="AB409" s="36"/>
    </row>
    <row r="410" ht="12.75" customHeight="1">
      <c r="A410" s="58"/>
      <c r="B410" s="59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AA410" s="36"/>
      <c r="AB410" s="36"/>
    </row>
    <row r="411" ht="12.75" customHeight="1">
      <c r="A411" s="58"/>
      <c r="B411" s="59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AA411" s="36"/>
      <c r="AB411" s="36"/>
    </row>
    <row r="412" ht="12.75" customHeight="1">
      <c r="A412" s="58"/>
      <c r="B412" s="59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AA412" s="36"/>
      <c r="AB412" s="36"/>
    </row>
    <row r="413" ht="12.75" customHeight="1">
      <c r="A413" s="58"/>
      <c r="B413" s="59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AA413" s="36"/>
      <c r="AB413" s="36"/>
    </row>
    <row r="414" ht="12.75" customHeight="1">
      <c r="A414" s="58"/>
      <c r="B414" s="59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AA414" s="36"/>
      <c r="AB414" s="36"/>
    </row>
    <row r="415" ht="12.75" customHeight="1">
      <c r="A415" s="58"/>
      <c r="B415" s="59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AA415" s="36"/>
      <c r="AB415" s="36"/>
    </row>
    <row r="416" ht="12.75" customHeight="1">
      <c r="A416" s="58"/>
      <c r="B416" s="59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AA416" s="36"/>
      <c r="AB416" s="36"/>
    </row>
    <row r="417" ht="12.75" customHeight="1">
      <c r="A417" s="58"/>
      <c r="B417" s="59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AA417" s="36"/>
      <c r="AB417" s="36"/>
    </row>
    <row r="418" ht="12.75" customHeight="1">
      <c r="A418" s="58"/>
      <c r="B418" s="59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AA418" s="36"/>
      <c r="AB418" s="36"/>
    </row>
    <row r="419" ht="12.75" customHeight="1">
      <c r="A419" s="58"/>
      <c r="B419" s="59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AA419" s="36"/>
      <c r="AB419" s="36"/>
    </row>
    <row r="420" ht="12.75" customHeight="1">
      <c r="A420" s="58"/>
      <c r="B420" s="59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AA420" s="36"/>
      <c r="AB420" s="36"/>
    </row>
    <row r="421" ht="12.75" customHeight="1">
      <c r="A421" s="58"/>
      <c r="B421" s="59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AA421" s="36"/>
      <c r="AB421" s="36"/>
    </row>
    <row r="422" ht="12.75" customHeight="1">
      <c r="A422" s="58"/>
      <c r="B422" s="59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AA422" s="36"/>
      <c r="AB422" s="36"/>
    </row>
    <row r="423" ht="12.75" customHeight="1">
      <c r="A423" s="58"/>
      <c r="B423" s="59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AA423" s="36"/>
      <c r="AB423" s="36"/>
    </row>
    <row r="424" ht="12.75" customHeight="1">
      <c r="A424" s="58"/>
      <c r="B424" s="59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AA424" s="36"/>
      <c r="AB424" s="36"/>
    </row>
    <row r="425" ht="12.75" customHeight="1">
      <c r="A425" s="58"/>
      <c r="B425" s="59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AA425" s="36"/>
      <c r="AB425" s="36"/>
    </row>
    <row r="426" ht="12.75" customHeight="1">
      <c r="A426" s="58"/>
      <c r="B426" s="59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AA426" s="36"/>
      <c r="AB426" s="36"/>
    </row>
    <row r="427" ht="12.75" customHeight="1">
      <c r="A427" s="58"/>
      <c r="B427" s="59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AA427" s="36"/>
      <c r="AB427" s="36"/>
    </row>
    <row r="428" ht="12.75" customHeight="1">
      <c r="A428" s="58"/>
      <c r="B428" s="59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AA428" s="36"/>
      <c r="AB428" s="36"/>
    </row>
    <row r="429" ht="12.75" customHeight="1">
      <c r="A429" s="58"/>
      <c r="B429" s="59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AA429" s="36"/>
      <c r="AB429" s="36"/>
    </row>
    <row r="430" ht="12.75" customHeight="1">
      <c r="A430" s="58"/>
      <c r="B430" s="59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AA430" s="36"/>
      <c r="AB430" s="36"/>
    </row>
    <row r="431" ht="12.75" customHeight="1">
      <c r="A431" s="58"/>
      <c r="B431" s="59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AA431" s="36"/>
      <c r="AB431" s="36"/>
    </row>
    <row r="432" ht="12.75" customHeight="1">
      <c r="A432" s="58"/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AA432" s="36"/>
      <c r="AB432" s="36"/>
    </row>
    <row r="433" ht="12.75" customHeight="1">
      <c r="A433" s="58"/>
      <c r="B433" s="59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AA433" s="36"/>
      <c r="AB433" s="36"/>
    </row>
    <row r="434" ht="12.75" customHeight="1">
      <c r="A434" s="58"/>
      <c r="B434" s="59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AA434" s="36"/>
      <c r="AB434" s="36"/>
    </row>
    <row r="435" ht="12.75" customHeight="1">
      <c r="A435" s="58"/>
      <c r="B435" s="59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AA435" s="36"/>
      <c r="AB435" s="36"/>
    </row>
    <row r="436" ht="12.75" customHeight="1">
      <c r="A436" s="58"/>
      <c r="B436" s="59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AA436" s="36"/>
      <c r="AB436" s="36"/>
    </row>
    <row r="437" ht="12.75" customHeight="1">
      <c r="A437" s="58"/>
      <c r="B437" s="59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AA437" s="36"/>
      <c r="AB437" s="36"/>
    </row>
    <row r="438" ht="12.75" customHeight="1">
      <c r="A438" s="58"/>
      <c r="B438" s="59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AA438" s="36"/>
      <c r="AB438" s="36"/>
    </row>
    <row r="439" ht="12.75" customHeight="1">
      <c r="A439" s="58"/>
      <c r="B439" s="59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AA439" s="36"/>
      <c r="AB439" s="36"/>
    </row>
    <row r="440" ht="12.75" customHeight="1">
      <c r="A440" s="58"/>
      <c r="B440" s="59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AA440" s="36"/>
      <c r="AB440" s="36"/>
    </row>
    <row r="441" ht="12.75" customHeight="1">
      <c r="A441" s="58"/>
      <c r="B441" s="59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AA441" s="36"/>
      <c r="AB441" s="36"/>
    </row>
    <row r="442" ht="12.75" customHeight="1">
      <c r="A442" s="58"/>
      <c r="B442" s="59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AA442" s="36"/>
      <c r="AB442" s="36"/>
    </row>
    <row r="443" ht="12.75" customHeight="1">
      <c r="A443" s="58"/>
      <c r="B443" s="59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AA443" s="36"/>
      <c r="AB443" s="36"/>
    </row>
    <row r="444" ht="12.75" customHeight="1">
      <c r="A444" s="58"/>
      <c r="B444" s="59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AA444" s="36"/>
      <c r="AB444" s="36"/>
    </row>
    <row r="445" ht="12.75" customHeight="1">
      <c r="A445" s="58"/>
      <c r="B445" s="59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AA445" s="36"/>
      <c r="AB445" s="36"/>
    </row>
    <row r="446" ht="12.75" customHeight="1">
      <c r="A446" s="58"/>
      <c r="B446" s="59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AA446" s="36"/>
      <c r="AB446" s="36"/>
    </row>
    <row r="447" ht="12.75" customHeight="1">
      <c r="A447" s="58"/>
      <c r="B447" s="59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AA447" s="36"/>
      <c r="AB447" s="36"/>
    </row>
    <row r="448" ht="12.75" customHeight="1">
      <c r="A448" s="58"/>
      <c r="B448" s="59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AA448" s="36"/>
      <c r="AB448" s="36"/>
    </row>
    <row r="449" ht="12.75" customHeight="1">
      <c r="A449" s="58"/>
      <c r="B449" s="59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AA449" s="36"/>
      <c r="AB449" s="36"/>
    </row>
    <row r="450" ht="12.75" customHeight="1">
      <c r="A450" s="58"/>
      <c r="B450" s="59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AA450" s="36"/>
      <c r="AB450" s="36"/>
    </row>
    <row r="451" ht="12.75" customHeight="1">
      <c r="A451" s="58"/>
      <c r="B451" s="59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AA451" s="36"/>
      <c r="AB451" s="36"/>
    </row>
    <row r="452" ht="12.75" customHeight="1">
      <c r="A452" s="58"/>
      <c r="B452" s="59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AA452" s="36"/>
      <c r="AB452" s="36"/>
    </row>
    <row r="453" ht="12.75" customHeight="1">
      <c r="A453" s="58"/>
      <c r="B453" s="59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AA453" s="36"/>
      <c r="AB453" s="36"/>
    </row>
    <row r="454" ht="12.75" customHeight="1">
      <c r="A454" s="58"/>
      <c r="B454" s="59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AA454" s="36"/>
      <c r="AB454" s="36"/>
    </row>
    <row r="455" ht="12.75" customHeight="1">
      <c r="A455" s="58"/>
      <c r="B455" s="59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AA455" s="36"/>
      <c r="AB455" s="36"/>
    </row>
    <row r="456" ht="12.75" customHeight="1">
      <c r="A456" s="58"/>
      <c r="B456" s="59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AA456" s="36"/>
      <c r="AB456" s="36"/>
    </row>
    <row r="457" ht="12.75" customHeight="1">
      <c r="A457" s="58"/>
      <c r="B457" s="59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AA457" s="36"/>
      <c r="AB457" s="36"/>
    </row>
    <row r="458" ht="12.75" customHeight="1">
      <c r="A458" s="58"/>
      <c r="B458" s="59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AA458" s="36"/>
      <c r="AB458" s="36"/>
    </row>
    <row r="459" ht="12.75" customHeight="1">
      <c r="A459" s="58"/>
      <c r="B459" s="59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AA459" s="36"/>
      <c r="AB459" s="36"/>
    </row>
    <row r="460" ht="12.75" customHeight="1">
      <c r="A460" s="58"/>
      <c r="B460" s="59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AA460" s="36"/>
      <c r="AB460" s="36"/>
    </row>
    <row r="461" ht="12.75" customHeight="1">
      <c r="A461" s="58"/>
      <c r="B461" s="59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AA461" s="36"/>
      <c r="AB461" s="36"/>
    </row>
    <row r="462" ht="12.75" customHeight="1">
      <c r="A462" s="58"/>
      <c r="B462" s="59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AA462" s="36"/>
      <c r="AB462" s="36"/>
    </row>
    <row r="463" ht="12.75" customHeight="1">
      <c r="A463" s="58"/>
      <c r="B463" s="59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AA463" s="36"/>
      <c r="AB463" s="36"/>
    </row>
    <row r="464" ht="12.75" customHeight="1">
      <c r="A464" s="58"/>
      <c r="B464" s="59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AA464" s="36"/>
      <c r="AB464" s="36"/>
    </row>
    <row r="465" ht="12.75" customHeight="1">
      <c r="A465" s="58"/>
      <c r="B465" s="59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AA465" s="36"/>
      <c r="AB465" s="36"/>
    </row>
    <row r="466" ht="12.75" customHeight="1">
      <c r="A466" s="58"/>
      <c r="B466" s="59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AA466" s="36"/>
      <c r="AB466" s="36"/>
    </row>
    <row r="467" ht="12.75" customHeight="1">
      <c r="A467" s="58"/>
      <c r="B467" s="59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AA467" s="36"/>
      <c r="AB467" s="36"/>
    </row>
    <row r="468" ht="12.75" customHeight="1">
      <c r="A468" s="58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AA468" s="36"/>
      <c r="AB468" s="36"/>
    </row>
    <row r="469" ht="12.75" customHeight="1">
      <c r="A469" s="58"/>
      <c r="B469" s="59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AA469" s="36"/>
      <c r="AB469" s="36"/>
    </row>
    <row r="470" ht="12.75" customHeight="1">
      <c r="A470" s="58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AA470" s="36"/>
      <c r="AB470" s="36"/>
    </row>
    <row r="471" ht="12.75" customHeight="1">
      <c r="A471" s="58"/>
      <c r="B471" s="59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AA471" s="36"/>
      <c r="AB471" s="36"/>
    </row>
    <row r="472" ht="12.75" customHeight="1">
      <c r="A472" s="58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AA472" s="36"/>
      <c r="AB472" s="36"/>
    </row>
    <row r="473" ht="12.75" customHeight="1">
      <c r="A473" s="58"/>
      <c r="B473" s="59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AA473" s="36"/>
      <c r="AB473" s="36"/>
    </row>
    <row r="474" ht="12.75" customHeight="1">
      <c r="A474" s="58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AA474" s="36"/>
      <c r="AB474" s="36"/>
    </row>
    <row r="475" ht="12.75" customHeight="1">
      <c r="A475" s="58"/>
      <c r="B475" s="59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AA475" s="36"/>
      <c r="AB475" s="36"/>
    </row>
    <row r="476" ht="12.75" customHeight="1">
      <c r="A476" s="58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AA476" s="36"/>
      <c r="AB476" s="36"/>
    </row>
    <row r="477" ht="12.75" customHeight="1">
      <c r="A477" s="58"/>
      <c r="B477" s="59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AA477" s="36"/>
      <c r="AB477" s="36"/>
    </row>
    <row r="478" ht="12.75" customHeight="1">
      <c r="A478" s="58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AA478" s="36"/>
      <c r="AB478" s="36"/>
    </row>
    <row r="479" ht="12.75" customHeight="1">
      <c r="A479" s="58"/>
      <c r="B479" s="59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AA479" s="36"/>
      <c r="AB479" s="36"/>
    </row>
    <row r="480" ht="12.75" customHeight="1">
      <c r="A480" s="58"/>
      <c r="B480" s="59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AA480" s="36"/>
      <c r="AB480" s="36"/>
    </row>
    <row r="481" ht="12.75" customHeight="1">
      <c r="A481" s="58"/>
      <c r="B481" s="59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AA481" s="36"/>
      <c r="AB481" s="36"/>
    </row>
    <row r="482" ht="12.75" customHeight="1">
      <c r="A482" s="58"/>
      <c r="B482" s="59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AA482" s="36"/>
      <c r="AB482" s="36"/>
    </row>
    <row r="483" ht="12.75" customHeight="1">
      <c r="A483" s="58"/>
      <c r="B483" s="59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AA483" s="36"/>
      <c r="AB483" s="36"/>
    </row>
    <row r="484" ht="12.75" customHeight="1">
      <c r="A484" s="58"/>
      <c r="B484" s="59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AA484" s="36"/>
      <c r="AB484" s="36"/>
    </row>
    <row r="485" ht="12.75" customHeight="1">
      <c r="A485" s="58"/>
      <c r="B485" s="59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AA485" s="36"/>
      <c r="AB485" s="36"/>
    </row>
    <row r="486" ht="12.75" customHeight="1">
      <c r="A486" s="58"/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AA486" s="36"/>
      <c r="AB486" s="36"/>
    </row>
    <row r="487" ht="12.75" customHeight="1">
      <c r="A487" s="58"/>
      <c r="B487" s="59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AA487" s="36"/>
      <c r="AB487" s="36"/>
    </row>
    <row r="488" ht="12.75" customHeight="1">
      <c r="A488" s="58"/>
      <c r="B488" s="59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AA488" s="36"/>
      <c r="AB488" s="36"/>
    </row>
    <row r="489" ht="12.75" customHeight="1">
      <c r="A489" s="58"/>
      <c r="B489" s="59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AA489" s="36"/>
      <c r="AB489" s="36"/>
    </row>
    <row r="490" ht="12.75" customHeight="1">
      <c r="A490" s="58"/>
      <c r="B490" s="59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AA490" s="36"/>
      <c r="AB490" s="36"/>
    </row>
    <row r="491" ht="12.75" customHeight="1">
      <c r="A491" s="58"/>
      <c r="B491" s="59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AA491" s="36"/>
      <c r="AB491" s="36"/>
    </row>
    <row r="492" ht="12.75" customHeight="1">
      <c r="A492" s="58"/>
      <c r="B492" s="59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AA492" s="36"/>
      <c r="AB492" s="36"/>
    </row>
    <row r="493" ht="12.75" customHeight="1">
      <c r="A493" s="58"/>
      <c r="B493" s="59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AA493" s="36"/>
      <c r="AB493" s="36"/>
    </row>
    <row r="494" ht="12.75" customHeight="1">
      <c r="A494" s="58"/>
      <c r="B494" s="59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AA494" s="36"/>
      <c r="AB494" s="36"/>
    </row>
    <row r="495" ht="12.75" customHeight="1">
      <c r="A495" s="58"/>
      <c r="B495" s="59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AA495" s="36"/>
      <c r="AB495" s="36"/>
    </row>
    <row r="496" ht="12.75" customHeight="1">
      <c r="A496" s="58"/>
      <c r="B496" s="59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AA496" s="36"/>
      <c r="AB496" s="36"/>
    </row>
    <row r="497" ht="12.75" customHeight="1">
      <c r="A497" s="58"/>
      <c r="B497" s="59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AA497" s="36"/>
      <c r="AB497" s="36"/>
    </row>
    <row r="498" ht="12.75" customHeight="1">
      <c r="A498" s="58"/>
      <c r="B498" s="59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AA498" s="36"/>
      <c r="AB498" s="36"/>
    </row>
    <row r="499" ht="12.75" customHeight="1">
      <c r="A499" s="58"/>
      <c r="B499" s="59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AA499" s="36"/>
      <c r="AB499" s="36"/>
    </row>
    <row r="500" ht="12.75" customHeight="1">
      <c r="A500" s="58"/>
      <c r="B500" s="59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AA500" s="36"/>
      <c r="AB500" s="36"/>
    </row>
    <row r="501" ht="12.75" customHeight="1">
      <c r="A501" s="58"/>
      <c r="B501" s="59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AA501" s="36"/>
      <c r="AB501" s="36"/>
    </row>
    <row r="502" ht="12.75" customHeight="1">
      <c r="A502" s="58"/>
      <c r="B502" s="59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AA502" s="36"/>
      <c r="AB502" s="36"/>
    </row>
    <row r="503" ht="12.75" customHeight="1">
      <c r="A503" s="58"/>
      <c r="B503" s="59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AA503" s="36"/>
      <c r="AB503" s="36"/>
    </row>
    <row r="504" ht="12.75" customHeight="1">
      <c r="A504" s="58"/>
      <c r="B504" s="59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AA504" s="36"/>
      <c r="AB504" s="36"/>
    </row>
    <row r="505" ht="12.75" customHeight="1">
      <c r="A505" s="58"/>
      <c r="B505" s="59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AA505" s="36"/>
      <c r="AB505" s="36"/>
    </row>
    <row r="506" ht="12.75" customHeight="1">
      <c r="A506" s="58"/>
      <c r="B506" s="59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AA506" s="36"/>
      <c r="AB506" s="36"/>
    </row>
    <row r="507" ht="12.75" customHeight="1">
      <c r="A507" s="58"/>
      <c r="B507" s="59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AA507" s="36"/>
      <c r="AB507" s="36"/>
    </row>
    <row r="508" ht="12.75" customHeight="1">
      <c r="A508" s="58"/>
      <c r="B508" s="59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AA508" s="36"/>
      <c r="AB508" s="36"/>
    </row>
    <row r="509" ht="12.75" customHeight="1">
      <c r="A509" s="58"/>
      <c r="B509" s="59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AA509" s="36"/>
      <c r="AB509" s="36"/>
    </row>
    <row r="510" ht="12.75" customHeight="1">
      <c r="A510" s="58"/>
      <c r="B510" s="59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AA510" s="36"/>
      <c r="AB510" s="36"/>
    </row>
    <row r="511" ht="12.75" customHeight="1">
      <c r="A511" s="58"/>
      <c r="B511" s="59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AA511" s="36"/>
      <c r="AB511" s="36"/>
    </row>
    <row r="512" ht="12.75" customHeight="1">
      <c r="A512" s="58"/>
      <c r="B512" s="59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AA512" s="36"/>
      <c r="AB512" s="36"/>
    </row>
    <row r="513" ht="12.75" customHeight="1">
      <c r="A513" s="58"/>
      <c r="B513" s="59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AA513" s="36"/>
      <c r="AB513" s="36"/>
    </row>
    <row r="514" ht="12.75" customHeight="1">
      <c r="A514" s="58"/>
      <c r="B514" s="59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AA514" s="36"/>
      <c r="AB514" s="36"/>
    </row>
    <row r="515" ht="12.75" customHeight="1">
      <c r="A515" s="58"/>
      <c r="B515" s="59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AA515" s="36"/>
      <c r="AB515" s="36"/>
    </row>
    <row r="516" ht="12.75" customHeight="1">
      <c r="A516" s="58"/>
      <c r="B516" s="59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AA516" s="36"/>
      <c r="AB516" s="36"/>
    </row>
    <row r="517" ht="12.75" customHeight="1">
      <c r="A517" s="58"/>
      <c r="B517" s="59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AA517" s="36"/>
      <c r="AB517" s="36"/>
    </row>
    <row r="518" ht="12.75" customHeight="1">
      <c r="A518" s="58"/>
      <c r="B518" s="59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AA518" s="36"/>
      <c r="AB518" s="36"/>
    </row>
    <row r="519" ht="12.75" customHeight="1">
      <c r="A519" s="58"/>
      <c r="B519" s="59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AA519" s="36"/>
      <c r="AB519" s="36"/>
    </row>
    <row r="520" ht="12.75" customHeight="1">
      <c r="A520" s="58"/>
      <c r="B520" s="59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AA520" s="36"/>
      <c r="AB520" s="36"/>
    </row>
    <row r="521" ht="12.75" customHeight="1">
      <c r="A521" s="58"/>
      <c r="B521" s="59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AA521" s="36"/>
      <c r="AB521" s="36"/>
    </row>
    <row r="522" ht="12.75" customHeight="1">
      <c r="A522" s="58"/>
      <c r="B522" s="59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AA522" s="36"/>
      <c r="AB522" s="36"/>
    </row>
    <row r="523" ht="12.75" customHeight="1">
      <c r="A523" s="58"/>
      <c r="B523" s="59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AA523" s="36"/>
      <c r="AB523" s="36"/>
    </row>
    <row r="524" ht="12.75" customHeight="1">
      <c r="A524" s="58"/>
      <c r="B524" s="59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AA524" s="36"/>
      <c r="AB524" s="36"/>
    </row>
    <row r="525" ht="12.75" customHeight="1">
      <c r="A525" s="58"/>
      <c r="B525" s="59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AA525" s="36"/>
      <c r="AB525" s="36"/>
    </row>
    <row r="526" ht="12.75" customHeight="1">
      <c r="A526" s="58"/>
      <c r="B526" s="59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AA526" s="36"/>
      <c r="AB526" s="36"/>
    </row>
    <row r="527" ht="12.75" customHeight="1">
      <c r="A527" s="58"/>
      <c r="B527" s="59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AA527" s="36"/>
      <c r="AB527" s="36"/>
    </row>
    <row r="528" ht="12.75" customHeight="1">
      <c r="A528" s="58"/>
      <c r="B528" s="59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AA528" s="36"/>
      <c r="AB528" s="36"/>
    </row>
    <row r="529" ht="12.75" customHeight="1">
      <c r="A529" s="58"/>
      <c r="B529" s="59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AA529" s="36"/>
      <c r="AB529" s="36"/>
    </row>
    <row r="530" ht="12.75" customHeight="1">
      <c r="A530" s="58"/>
      <c r="B530" s="59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AA530" s="36"/>
      <c r="AB530" s="36"/>
    </row>
    <row r="531" ht="12.75" customHeight="1">
      <c r="A531" s="58"/>
      <c r="B531" s="59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AA531" s="36"/>
      <c r="AB531" s="36"/>
    </row>
    <row r="532" ht="12.75" customHeight="1">
      <c r="A532" s="58"/>
      <c r="B532" s="59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AA532" s="36"/>
      <c r="AB532" s="36"/>
    </row>
    <row r="533" ht="12.75" customHeight="1">
      <c r="A533" s="58"/>
      <c r="B533" s="59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AA533" s="36"/>
      <c r="AB533" s="36"/>
    </row>
    <row r="534" ht="12.75" customHeight="1">
      <c r="A534" s="58"/>
      <c r="B534" s="59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AA534" s="36"/>
      <c r="AB534" s="36"/>
    </row>
    <row r="535" ht="12.75" customHeight="1">
      <c r="A535" s="58"/>
      <c r="B535" s="59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AA535" s="36"/>
      <c r="AB535" s="36"/>
    </row>
    <row r="536" ht="12.75" customHeight="1">
      <c r="A536" s="58"/>
      <c r="B536" s="59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AA536" s="36"/>
      <c r="AB536" s="36"/>
    </row>
    <row r="537" ht="12.75" customHeight="1">
      <c r="A537" s="58"/>
      <c r="B537" s="59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AA537" s="36"/>
      <c r="AB537" s="36"/>
    </row>
    <row r="538" ht="12.75" customHeight="1">
      <c r="A538" s="58"/>
      <c r="B538" s="59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AA538" s="36"/>
      <c r="AB538" s="36"/>
    </row>
    <row r="539" ht="12.75" customHeight="1">
      <c r="A539" s="58"/>
      <c r="B539" s="59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AA539" s="36"/>
      <c r="AB539" s="36"/>
    </row>
    <row r="540" ht="12.75" customHeight="1">
      <c r="A540" s="58"/>
      <c r="B540" s="59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AA540" s="36"/>
      <c r="AB540" s="36"/>
    </row>
    <row r="541" ht="12.75" customHeight="1">
      <c r="A541" s="58"/>
      <c r="B541" s="59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AA541" s="36"/>
      <c r="AB541" s="36"/>
    </row>
    <row r="542" ht="12.75" customHeight="1">
      <c r="A542" s="58"/>
      <c r="B542" s="59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AA542" s="36"/>
      <c r="AB542" s="36"/>
    </row>
    <row r="543" ht="12.75" customHeight="1">
      <c r="A543" s="58"/>
      <c r="B543" s="59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AA543" s="36"/>
      <c r="AB543" s="36"/>
    </row>
    <row r="544" ht="12.75" customHeight="1">
      <c r="A544" s="58"/>
      <c r="B544" s="59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AA544" s="36"/>
      <c r="AB544" s="36"/>
    </row>
    <row r="545" ht="12.75" customHeight="1">
      <c r="A545" s="58"/>
      <c r="B545" s="59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AA545" s="36"/>
      <c r="AB545" s="36"/>
    </row>
    <row r="546" ht="12.75" customHeight="1">
      <c r="A546" s="58"/>
      <c r="B546" s="59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AA546" s="36"/>
      <c r="AB546" s="36"/>
    </row>
    <row r="547" ht="12.75" customHeight="1">
      <c r="A547" s="58"/>
      <c r="B547" s="59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AA547" s="36"/>
      <c r="AB547" s="36"/>
    </row>
    <row r="548" ht="12.75" customHeight="1">
      <c r="A548" s="58"/>
      <c r="B548" s="59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AA548" s="36"/>
      <c r="AB548" s="36"/>
    </row>
    <row r="549" ht="12.75" customHeight="1">
      <c r="A549" s="58"/>
      <c r="B549" s="59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AA549" s="36"/>
      <c r="AB549" s="36"/>
    </row>
    <row r="550" ht="12.75" customHeight="1">
      <c r="A550" s="58"/>
      <c r="B550" s="59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AA550" s="36"/>
      <c r="AB550" s="36"/>
    </row>
    <row r="551" ht="12.75" customHeight="1">
      <c r="A551" s="58"/>
      <c r="B551" s="59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AA551" s="36"/>
      <c r="AB551" s="36"/>
    </row>
    <row r="552" ht="12.75" customHeight="1">
      <c r="A552" s="58"/>
      <c r="B552" s="59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AA552" s="36"/>
      <c r="AB552" s="36"/>
    </row>
    <row r="553" ht="12.75" customHeight="1">
      <c r="A553" s="58"/>
      <c r="B553" s="59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AA553" s="36"/>
      <c r="AB553" s="36"/>
    </row>
    <row r="554" ht="12.75" customHeight="1">
      <c r="A554" s="58"/>
      <c r="B554" s="59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AA554" s="36"/>
      <c r="AB554" s="36"/>
    </row>
    <row r="555" ht="12.75" customHeight="1">
      <c r="A555" s="58"/>
      <c r="B555" s="59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AA555" s="36"/>
      <c r="AB555" s="36"/>
    </row>
    <row r="556" ht="12.75" customHeight="1">
      <c r="A556" s="58"/>
      <c r="B556" s="59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AA556" s="36"/>
      <c r="AB556" s="36"/>
    </row>
    <row r="557" ht="12.75" customHeight="1">
      <c r="A557" s="58"/>
      <c r="B557" s="59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AA557" s="36"/>
      <c r="AB557" s="36"/>
    </row>
    <row r="558" ht="12.75" customHeight="1">
      <c r="A558" s="58"/>
      <c r="B558" s="59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AA558" s="36"/>
      <c r="AB558" s="36"/>
    </row>
    <row r="559" ht="12.75" customHeight="1">
      <c r="A559" s="58"/>
      <c r="B559" s="59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AA559" s="36"/>
      <c r="AB559" s="36"/>
    </row>
    <row r="560" ht="12.75" customHeight="1">
      <c r="A560" s="58"/>
      <c r="B560" s="59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AA560" s="36"/>
      <c r="AB560" s="36"/>
    </row>
    <row r="561" ht="12.75" customHeight="1">
      <c r="A561" s="58"/>
      <c r="B561" s="59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AA561" s="36"/>
      <c r="AB561" s="36"/>
    </row>
    <row r="562" ht="12.75" customHeight="1">
      <c r="A562" s="58"/>
      <c r="B562" s="59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AA562" s="36"/>
      <c r="AB562" s="36"/>
    </row>
    <row r="563" ht="12.75" customHeight="1">
      <c r="A563" s="58"/>
      <c r="B563" s="59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AA563" s="36"/>
      <c r="AB563" s="36"/>
    </row>
    <row r="564" ht="12.75" customHeight="1">
      <c r="A564" s="58"/>
      <c r="B564" s="59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AA564" s="36"/>
      <c r="AB564" s="36"/>
    </row>
    <row r="565" ht="12.75" customHeight="1">
      <c r="A565" s="58"/>
      <c r="B565" s="59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AA565" s="36"/>
      <c r="AB565" s="36"/>
    </row>
    <row r="566" ht="12.75" customHeight="1">
      <c r="A566" s="58"/>
      <c r="B566" s="59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AA566" s="36"/>
      <c r="AB566" s="36"/>
    </row>
    <row r="567" ht="12.75" customHeight="1">
      <c r="A567" s="58"/>
      <c r="B567" s="59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AA567" s="36"/>
      <c r="AB567" s="36"/>
    </row>
    <row r="568" ht="12.75" customHeight="1">
      <c r="A568" s="58"/>
      <c r="B568" s="59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AA568" s="36"/>
      <c r="AB568" s="36"/>
    </row>
    <row r="569" ht="12.75" customHeight="1">
      <c r="A569" s="58"/>
      <c r="B569" s="59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AA569" s="36"/>
      <c r="AB569" s="36"/>
    </row>
    <row r="570" ht="12.75" customHeight="1">
      <c r="A570" s="58"/>
      <c r="B570" s="59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AA570" s="36"/>
      <c r="AB570" s="36"/>
    </row>
    <row r="571" ht="12.75" customHeight="1">
      <c r="A571" s="58"/>
      <c r="B571" s="59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AA571" s="36"/>
      <c r="AB571" s="36"/>
    </row>
    <row r="572" ht="12.75" customHeight="1">
      <c r="A572" s="58"/>
      <c r="B572" s="59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AA572" s="36"/>
      <c r="AB572" s="36"/>
    </row>
    <row r="573" ht="12.75" customHeight="1">
      <c r="A573" s="58"/>
      <c r="B573" s="59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AA573" s="36"/>
      <c r="AB573" s="36"/>
    </row>
    <row r="574" ht="12.75" customHeight="1">
      <c r="A574" s="58"/>
      <c r="B574" s="59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AA574" s="36"/>
      <c r="AB574" s="36"/>
    </row>
    <row r="575" ht="12.75" customHeight="1">
      <c r="A575" s="58"/>
      <c r="B575" s="59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AA575" s="36"/>
      <c r="AB575" s="36"/>
    </row>
    <row r="576" ht="12.75" customHeight="1">
      <c r="A576" s="58"/>
      <c r="B576" s="59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AA576" s="36"/>
      <c r="AB576" s="36"/>
    </row>
    <row r="577" ht="12.75" customHeight="1">
      <c r="A577" s="58"/>
      <c r="B577" s="59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AA577" s="36"/>
      <c r="AB577" s="36"/>
    </row>
    <row r="578" ht="12.75" customHeight="1">
      <c r="A578" s="58"/>
      <c r="B578" s="59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AA578" s="36"/>
      <c r="AB578" s="36"/>
    </row>
    <row r="579" ht="12.75" customHeight="1">
      <c r="A579" s="58"/>
      <c r="B579" s="59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AA579" s="36"/>
      <c r="AB579" s="36"/>
    </row>
    <row r="580" ht="12.75" customHeight="1">
      <c r="A580" s="58"/>
      <c r="B580" s="59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AA580" s="36"/>
      <c r="AB580" s="36"/>
    </row>
    <row r="581" ht="12.75" customHeight="1">
      <c r="A581" s="58"/>
      <c r="B581" s="59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AA581" s="36"/>
      <c r="AB581" s="36"/>
    </row>
    <row r="582" ht="12.75" customHeight="1">
      <c r="A582" s="58"/>
      <c r="B582" s="59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AA582" s="36"/>
      <c r="AB582" s="36"/>
    </row>
    <row r="583" ht="12.75" customHeight="1">
      <c r="A583" s="58"/>
      <c r="B583" s="59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AA583" s="36"/>
      <c r="AB583" s="36"/>
    </row>
    <row r="584" ht="12.75" customHeight="1">
      <c r="A584" s="58"/>
      <c r="B584" s="59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AA584" s="36"/>
      <c r="AB584" s="36"/>
    </row>
    <row r="585" ht="12.75" customHeight="1">
      <c r="A585" s="58"/>
      <c r="B585" s="59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AA585" s="36"/>
      <c r="AB585" s="36"/>
    </row>
    <row r="586" ht="12.75" customHeight="1">
      <c r="A586" s="58"/>
      <c r="B586" s="59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AA586" s="36"/>
      <c r="AB586" s="36"/>
    </row>
    <row r="587" ht="12.75" customHeight="1">
      <c r="A587" s="58"/>
      <c r="B587" s="59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AA587" s="36"/>
      <c r="AB587" s="36"/>
    </row>
    <row r="588" ht="12.75" customHeight="1">
      <c r="A588" s="58"/>
      <c r="B588" s="59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AA588" s="36"/>
      <c r="AB588" s="36"/>
    </row>
    <row r="589" ht="12.75" customHeight="1">
      <c r="A589" s="58"/>
      <c r="B589" s="59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AA589" s="36"/>
      <c r="AB589" s="36"/>
    </row>
    <row r="590" ht="12.75" customHeight="1">
      <c r="A590" s="58"/>
      <c r="B590" s="59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AA590" s="36"/>
      <c r="AB590" s="36"/>
    </row>
    <row r="591" ht="12.75" customHeight="1">
      <c r="A591" s="58"/>
      <c r="B591" s="59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AA591" s="36"/>
      <c r="AB591" s="36"/>
    </row>
    <row r="592" ht="12.75" customHeight="1">
      <c r="A592" s="58"/>
      <c r="B592" s="59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AA592" s="36"/>
      <c r="AB592" s="36"/>
    </row>
    <row r="593" ht="12.75" customHeight="1">
      <c r="A593" s="58"/>
      <c r="B593" s="59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AA593" s="36"/>
      <c r="AB593" s="36"/>
    </row>
    <row r="594" ht="12.75" customHeight="1">
      <c r="A594" s="58"/>
      <c r="B594" s="59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AA594" s="36"/>
      <c r="AB594" s="36"/>
    </row>
    <row r="595" ht="12.75" customHeight="1">
      <c r="A595" s="58"/>
      <c r="B595" s="59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AA595" s="36"/>
      <c r="AB595" s="36"/>
    </row>
    <row r="596" ht="12.75" customHeight="1">
      <c r="A596" s="58"/>
      <c r="B596" s="59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AA596" s="36"/>
      <c r="AB596" s="36"/>
    </row>
    <row r="597" ht="12.75" customHeight="1">
      <c r="A597" s="58"/>
      <c r="B597" s="59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AA597" s="36"/>
      <c r="AB597" s="36"/>
    </row>
    <row r="598" ht="12.75" customHeight="1">
      <c r="A598" s="58"/>
      <c r="B598" s="59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AA598" s="36"/>
      <c r="AB598" s="36"/>
    </row>
    <row r="599" ht="12.75" customHeight="1">
      <c r="A599" s="58"/>
      <c r="B599" s="59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AA599" s="36"/>
      <c r="AB599" s="36"/>
    </row>
    <row r="600" ht="12.75" customHeight="1">
      <c r="A600" s="58"/>
      <c r="B600" s="59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AA600" s="36"/>
      <c r="AB600" s="36"/>
    </row>
    <row r="601" ht="12.75" customHeight="1">
      <c r="A601" s="58"/>
      <c r="B601" s="59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AA601" s="36"/>
      <c r="AB601" s="36"/>
    </row>
    <row r="602" ht="12.75" customHeight="1">
      <c r="A602" s="58"/>
      <c r="B602" s="59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AA602" s="36"/>
      <c r="AB602" s="36"/>
    </row>
    <row r="603" ht="12.75" customHeight="1">
      <c r="A603" s="58"/>
      <c r="B603" s="59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AA603" s="36"/>
      <c r="AB603" s="36"/>
    </row>
    <row r="604" ht="12.75" customHeight="1">
      <c r="A604" s="58"/>
      <c r="B604" s="59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AA604" s="36"/>
      <c r="AB604" s="36"/>
    </row>
    <row r="605" ht="12.75" customHeight="1">
      <c r="A605" s="58"/>
      <c r="B605" s="59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AA605" s="36"/>
      <c r="AB605" s="36"/>
    </row>
    <row r="606" ht="12.75" customHeight="1">
      <c r="A606" s="58"/>
      <c r="B606" s="59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AA606" s="36"/>
      <c r="AB606" s="36"/>
    </row>
    <row r="607" ht="12.75" customHeight="1">
      <c r="A607" s="58"/>
      <c r="B607" s="59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AA607" s="36"/>
      <c r="AB607" s="36"/>
    </row>
    <row r="608" ht="12.75" customHeight="1">
      <c r="A608" s="58"/>
      <c r="B608" s="59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AA608" s="36"/>
      <c r="AB608" s="36"/>
    </row>
    <row r="609" ht="12.75" customHeight="1">
      <c r="A609" s="58"/>
      <c r="B609" s="59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AA609" s="36"/>
      <c r="AB609" s="36"/>
    </row>
    <row r="610" ht="12.75" customHeight="1">
      <c r="A610" s="58"/>
      <c r="B610" s="59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AA610" s="36"/>
      <c r="AB610" s="36"/>
    </row>
    <row r="611" ht="12.75" customHeight="1">
      <c r="A611" s="58"/>
      <c r="B611" s="59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AA611" s="36"/>
      <c r="AB611" s="36"/>
    </row>
    <row r="612" ht="12.75" customHeight="1">
      <c r="A612" s="58"/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AA612" s="36"/>
      <c r="AB612" s="36"/>
    </row>
    <row r="613" ht="12.75" customHeight="1">
      <c r="A613" s="58"/>
      <c r="B613" s="59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AA613" s="36"/>
      <c r="AB613" s="36"/>
    </row>
    <row r="614" ht="12.75" customHeight="1">
      <c r="A614" s="58"/>
      <c r="B614" s="59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AA614" s="36"/>
      <c r="AB614" s="36"/>
    </row>
    <row r="615" ht="12.75" customHeight="1">
      <c r="A615" s="58"/>
      <c r="B615" s="59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AA615" s="36"/>
      <c r="AB615" s="36"/>
    </row>
    <row r="616" ht="12.75" customHeight="1">
      <c r="A616" s="58"/>
      <c r="B616" s="59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AA616" s="36"/>
      <c r="AB616" s="36"/>
    </row>
    <row r="617" ht="12.75" customHeight="1">
      <c r="A617" s="58"/>
      <c r="B617" s="59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AA617" s="36"/>
      <c r="AB617" s="36"/>
    </row>
    <row r="618" ht="12.75" customHeight="1">
      <c r="A618" s="58"/>
      <c r="B618" s="59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AA618" s="36"/>
      <c r="AB618" s="36"/>
    </row>
    <row r="619" ht="12.75" customHeight="1">
      <c r="A619" s="58"/>
      <c r="B619" s="59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AA619" s="36"/>
      <c r="AB619" s="36"/>
    </row>
    <row r="620" ht="12.75" customHeight="1">
      <c r="A620" s="58"/>
      <c r="B620" s="59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AA620" s="36"/>
      <c r="AB620" s="36"/>
    </row>
    <row r="621" ht="12.75" customHeight="1">
      <c r="A621" s="58"/>
      <c r="B621" s="59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AA621" s="36"/>
      <c r="AB621" s="36"/>
    </row>
    <row r="622" ht="12.75" customHeight="1">
      <c r="A622" s="58"/>
      <c r="B622" s="59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AA622" s="36"/>
      <c r="AB622" s="36"/>
    </row>
    <row r="623" ht="12.75" customHeight="1">
      <c r="A623" s="58"/>
      <c r="B623" s="59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AA623" s="36"/>
      <c r="AB623" s="36"/>
    </row>
    <row r="624" ht="12.75" customHeight="1">
      <c r="A624" s="58"/>
      <c r="B624" s="59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AA624" s="36"/>
      <c r="AB624" s="36"/>
    </row>
    <row r="625" ht="12.75" customHeight="1">
      <c r="A625" s="58"/>
      <c r="B625" s="59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AA625" s="36"/>
      <c r="AB625" s="36"/>
    </row>
    <row r="626" ht="12.75" customHeight="1">
      <c r="A626" s="58"/>
      <c r="B626" s="59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AA626" s="36"/>
      <c r="AB626" s="36"/>
    </row>
    <row r="627" ht="12.75" customHeight="1">
      <c r="A627" s="58"/>
      <c r="B627" s="59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AA627" s="36"/>
      <c r="AB627" s="36"/>
    </row>
    <row r="628" ht="12.75" customHeight="1">
      <c r="A628" s="58"/>
      <c r="B628" s="59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AA628" s="36"/>
      <c r="AB628" s="36"/>
    </row>
    <row r="629" ht="12.75" customHeight="1">
      <c r="A629" s="58"/>
      <c r="B629" s="59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AA629" s="36"/>
      <c r="AB629" s="36"/>
    </row>
    <row r="630" ht="12.75" customHeight="1">
      <c r="A630" s="58"/>
      <c r="B630" s="59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AA630" s="36"/>
      <c r="AB630" s="36"/>
    </row>
    <row r="631" ht="12.75" customHeight="1">
      <c r="A631" s="58"/>
      <c r="B631" s="59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AA631" s="36"/>
      <c r="AB631" s="36"/>
    </row>
    <row r="632" ht="12.75" customHeight="1">
      <c r="A632" s="58"/>
      <c r="B632" s="59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AA632" s="36"/>
      <c r="AB632" s="36"/>
    </row>
    <row r="633" ht="12.75" customHeight="1">
      <c r="A633" s="58"/>
      <c r="B633" s="59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AA633" s="36"/>
      <c r="AB633" s="36"/>
    </row>
    <row r="634" ht="12.75" customHeight="1">
      <c r="A634" s="58"/>
      <c r="B634" s="59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AA634" s="36"/>
      <c r="AB634" s="36"/>
    </row>
    <row r="635" ht="12.75" customHeight="1">
      <c r="A635" s="58"/>
      <c r="B635" s="59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AA635" s="36"/>
      <c r="AB635" s="36"/>
    </row>
    <row r="636" ht="12.75" customHeight="1">
      <c r="A636" s="58"/>
      <c r="B636" s="59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AA636" s="36"/>
      <c r="AB636" s="36"/>
    </row>
    <row r="637" ht="12.75" customHeight="1">
      <c r="A637" s="58"/>
      <c r="B637" s="59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AA637" s="36"/>
      <c r="AB637" s="36"/>
    </row>
    <row r="638" ht="12.75" customHeight="1">
      <c r="A638" s="58"/>
      <c r="B638" s="59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AA638" s="36"/>
      <c r="AB638" s="36"/>
    </row>
    <row r="639" ht="12.75" customHeight="1">
      <c r="A639" s="58"/>
      <c r="B639" s="59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AA639" s="36"/>
      <c r="AB639" s="36"/>
    </row>
    <row r="640" ht="12.75" customHeight="1">
      <c r="A640" s="58"/>
      <c r="B640" s="59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AA640" s="36"/>
      <c r="AB640" s="36"/>
    </row>
    <row r="641" ht="12.75" customHeight="1">
      <c r="A641" s="58"/>
      <c r="B641" s="59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AA641" s="36"/>
      <c r="AB641" s="36"/>
    </row>
    <row r="642" ht="12.75" customHeight="1">
      <c r="A642" s="58"/>
      <c r="B642" s="59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AA642" s="36"/>
      <c r="AB642" s="36"/>
    </row>
    <row r="643" ht="12.75" customHeight="1">
      <c r="A643" s="58"/>
      <c r="B643" s="59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AA643" s="36"/>
      <c r="AB643" s="36"/>
    </row>
    <row r="644" ht="12.75" customHeight="1">
      <c r="A644" s="58"/>
      <c r="B644" s="59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AA644" s="36"/>
      <c r="AB644" s="36"/>
    </row>
    <row r="645" ht="12.75" customHeight="1">
      <c r="A645" s="58"/>
      <c r="B645" s="59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AA645" s="36"/>
      <c r="AB645" s="36"/>
    </row>
    <row r="646" ht="12.75" customHeight="1">
      <c r="A646" s="58"/>
      <c r="B646" s="59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AA646" s="36"/>
      <c r="AB646" s="36"/>
    </row>
    <row r="647" ht="12.75" customHeight="1">
      <c r="A647" s="58"/>
      <c r="B647" s="59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AA647" s="36"/>
      <c r="AB647" s="36"/>
    </row>
    <row r="648" ht="12.75" customHeight="1">
      <c r="A648" s="58"/>
      <c r="B648" s="59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AA648" s="36"/>
      <c r="AB648" s="36"/>
    </row>
    <row r="649" ht="12.75" customHeight="1">
      <c r="A649" s="58"/>
      <c r="B649" s="59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AA649" s="36"/>
      <c r="AB649" s="36"/>
    </row>
    <row r="650" ht="12.75" customHeight="1">
      <c r="A650" s="58"/>
      <c r="B650" s="59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AA650" s="36"/>
      <c r="AB650" s="36"/>
    </row>
    <row r="651" ht="12.75" customHeight="1">
      <c r="A651" s="58"/>
      <c r="B651" s="59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AA651" s="36"/>
      <c r="AB651" s="36"/>
    </row>
    <row r="652" ht="12.75" customHeight="1">
      <c r="A652" s="58"/>
      <c r="B652" s="59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AA652" s="36"/>
      <c r="AB652" s="36"/>
    </row>
    <row r="653" ht="12.75" customHeight="1">
      <c r="A653" s="58"/>
      <c r="B653" s="59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AA653" s="36"/>
      <c r="AB653" s="36"/>
    </row>
    <row r="654" ht="12.75" customHeight="1">
      <c r="A654" s="58"/>
      <c r="B654" s="59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AA654" s="36"/>
      <c r="AB654" s="36"/>
    </row>
    <row r="655" ht="12.75" customHeight="1">
      <c r="A655" s="58"/>
      <c r="B655" s="59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AA655" s="36"/>
      <c r="AB655" s="36"/>
    </row>
    <row r="656" ht="12.75" customHeight="1">
      <c r="A656" s="58"/>
      <c r="B656" s="59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AA656" s="36"/>
      <c r="AB656" s="36"/>
    </row>
    <row r="657" ht="12.75" customHeight="1">
      <c r="A657" s="58"/>
      <c r="B657" s="59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AA657" s="36"/>
      <c r="AB657" s="36"/>
    </row>
    <row r="658" ht="12.75" customHeight="1">
      <c r="A658" s="58"/>
      <c r="B658" s="59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AA658" s="36"/>
      <c r="AB658" s="36"/>
    </row>
    <row r="659" ht="12.75" customHeight="1">
      <c r="A659" s="58"/>
      <c r="B659" s="59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AA659" s="36"/>
      <c r="AB659" s="36"/>
    </row>
    <row r="660" ht="12.75" customHeight="1">
      <c r="A660" s="58"/>
      <c r="B660" s="59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AA660" s="36"/>
      <c r="AB660" s="36"/>
    </row>
    <row r="661" ht="12.75" customHeight="1">
      <c r="A661" s="58"/>
      <c r="B661" s="59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AA661" s="36"/>
      <c r="AB661" s="36"/>
    </row>
    <row r="662" ht="12.75" customHeight="1">
      <c r="A662" s="58"/>
      <c r="B662" s="59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AA662" s="36"/>
      <c r="AB662" s="36"/>
    </row>
    <row r="663" ht="12.75" customHeight="1">
      <c r="A663" s="58"/>
      <c r="B663" s="59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AA663" s="36"/>
      <c r="AB663" s="36"/>
    </row>
    <row r="664" ht="12.75" customHeight="1">
      <c r="A664" s="58"/>
      <c r="B664" s="59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AA664" s="36"/>
      <c r="AB664" s="36"/>
    </row>
    <row r="665" ht="12.75" customHeight="1">
      <c r="A665" s="58"/>
      <c r="B665" s="59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AA665" s="36"/>
      <c r="AB665" s="36"/>
    </row>
    <row r="666" ht="12.75" customHeight="1">
      <c r="A666" s="58"/>
      <c r="B666" s="59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AA666" s="36"/>
      <c r="AB666" s="36"/>
    </row>
    <row r="667" ht="12.75" customHeight="1">
      <c r="A667" s="58"/>
      <c r="B667" s="59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AA667" s="36"/>
      <c r="AB667" s="36"/>
    </row>
    <row r="668" ht="12.75" customHeight="1">
      <c r="A668" s="58"/>
      <c r="B668" s="59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AA668" s="36"/>
      <c r="AB668" s="36"/>
    </row>
    <row r="669" ht="12.75" customHeight="1">
      <c r="A669" s="58"/>
      <c r="B669" s="59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AA669" s="36"/>
      <c r="AB669" s="36"/>
    </row>
    <row r="670" ht="12.75" customHeight="1">
      <c r="A670" s="58"/>
      <c r="B670" s="59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AA670" s="36"/>
      <c r="AB670" s="36"/>
    </row>
    <row r="671" ht="12.75" customHeight="1">
      <c r="A671" s="58"/>
      <c r="B671" s="59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AA671" s="36"/>
      <c r="AB671" s="36"/>
    </row>
    <row r="672" ht="12.75" customHeight="1">
      <c r="A672" s="58"/>
      <c r="B672" s="59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AA672" s="36"/>
      <c r="AB672" s="36"/>
    </row>
    <row r="673" ht="12.75" customHeight="1">
      <c r="A673" s="58"/>
      <c r="B673" s="59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AA673" s="36"/>
      <c r="AB673" s="36"/>
    </row>
    <row r="674" ht="12.75" customHeight="1">
      <c r="A674" s="58"/>
      <c r="B674" s="59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AA674" s="36"/>
      <c r="AB674" s="36"/>
    </row>
    <row r="675" ht="12.75" customHeight="1">
      <c r="A675" s="58"/>
      <c r="B675" s="59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AA675" s="36"/>
      <c r="AB675" s="36"/>
    </row>
    <row r="676" ht="12.75" customHeight="1">
      <c r="A676" s="58"/>
      <c r="B676" s="59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AA676" s="36"/>
      <c r="AB676" s="36"/>
    </row>
    <row r="677" ht="12.75" customHeight="1">
      <c r="A677" s="58"/>
      <c r="B677" s="59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AA677" s="36"/>
      <c r="AB677" s="36"/>
    </row>
    <row r="678" ht="12.75" customHeight="1">
      <c r="A678" s="58"/>
      <c r="B678" s="59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AA678" s="36"/>
      <c r="AB678" s="36"/>
    </row>
    <row r="679" ht="12.75" customHeight="1">
      <c r="A679" s="58"/>
      <c r="B679" s="59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AA679" s="36"/>
      <c r="AB679" s="36"/>
    </row>
    <row r="680" ht="12.75" customHeight="1">
      <c r="A680" s="58"/>
      <c r="B680" s="59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AA680" s="36"/>
      <c r="AB680" s="36"/>
    </row>
    <row r="681" ht="12.75" customHeight="1">
      <c r="A681" s="58"/>
      <c r="B681" s="59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AA681" s="36"/>
      <c r="AB681" s="36"/>
    </row>
    <row r="682" ht="12.75" customHeight="1">
      <c r="A682" s="58"/>
      <c r="B682" s="59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AA682" s="36"/>
      <c r="AB682" s="36"/>
    </row>
    <row r="683" ht="12.75" customHeight="1">
      <c r="A683" s="58"/>
      <c r="B683" s="59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AA683" s="36"/>
      <c r="AB683" s="36"/>
    </row>
    <row r="684" ht="12.75" customHeight="1">
      <c r="A684" s="58"/>
      <c r="B684" s="59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AA684" s="36"/>
      <c r="AB684" s="36"/>
    </row>
    <row r="685" ht="12.75" customHeight="1">
      <c r="A685" s="58"/>
      <c r="B685" s="59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AA685" s="36"/>
      <c r="AB685" s="36"/>
    </row>
    <row r="686" ht="12.75" customHeight="1">
      <c r="A686" s="58"/>
      <c r="B686" s="59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AA686" s="36"/>
      <c r="AB686" s="36"/>
    </row>
    <row r="687" ht="12.75" customHeight="1">
      <c r="A687" s="58"/>
      <c r="B687" s="59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AA687" s="36"/>
      <c r="AB687" s="36"/>
    </row>
    <row r="688" ht="12.75" customHeight="1">
      <c r="A688" s="58"/>
      <c r="B688" s="59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AA688" s="36"/>
      <c r="AB688" s="36"/>
    </row>
    <row r="689" ht="12.75" customHeight="1">
      <c r="A689" s="58"/>
      <c r="B689" s="59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AA689" s="36"/>
      <c r="AB689" s="36"/>
    </row>
    <row r="690" ht="12.75" customHeight="1">
      <c r="A690" s="58"/>
      <c r="B690" s="59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AA690" s="36"/>
      <c r="AB690" s="36"/>
    </row>
    <row r="691" ht="12.75" customHeight="1">
      <c r="A691" s="58"/>
      <c r="B691" s="59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AA691" s="36"/>
      <c r="AB691" s="36"/>
    </row>
    <row r="692" ht="12.75" customHeight="1">
      <c r="A692" s="58"/>
      <c r="B692" s="59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AA692" s="36"/>
      <c r="AB692" s="36"/>
    </row>
    <row r="693" ht="12.75" customHeight="1">
      <c r="A693" s="58"/>
      <c r="B693" s="59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AA693" s="36"/>
      <c r="AB693" s="36"/>
    </row>
    <row r="694" ht="12.75" customHeight="1">
      <c r="A694" s="58"/>
      <c r="B694" s="59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AA694" s="36"/>
      <c r="AB694" s="36"/>
    </row>
    <row r="695" ht="12.75" customHeight="1">
      <c r="A695" s="58"/>
      <c r="B695" s="59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AA695" s="36"/>
      <c r="AB695" s="36"/>
    </row>
    <row r="696" ht="12.75" customHeight="1">
      <c r="A696" s="58"/>
      <c r="B696" s="59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AA696" s="36"/>
      <c r="AB696" s="36"/>
    </row>
    <row r="697" ht="12.75" customHeight="1">
      <c r="A697" s="58"/>
      <c r="B697" s="59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AA697" s="36"/>
      <c r="AB697" s="36"/>
    </row>
    <row r="698" ht="12.75" customHeight="1">
      <c r="A698" s="58"/>
      <c r="B698" s="59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AA698" s="36"/>
      <c r="AB698" s="36"/>
    </row>
    <row r="699" ht="12.75" customHeight="1">
      <c r="A699" s="58"/>
      <c r="B699" s="59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AA699" s="36"/>
      <c r="AB699" s="36"/>
    </row>
    <row r="700" ht="12.75" customHeight="1">
      <c r="A700" s="58"/>
      <c r="B700" s="59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AA700" s="36"/>
      <c r="AB700" s="36"/>
    </row>
    <row r="701" ht="12.75" customHeight="1">
      <c r="A701" s="58"/>
      <c r="B701" s="59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AA701" s="36"/>
      <c r="AB701" s="36"/>
    </row>
    <row r="702" ht="12.75" customHeight="1">
      <c r="A702" s="58"/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AA702" s="36"/>
      <c r="AB702" s="36"/>
    </row>
    <row r="703" ht="12.75" customHeight="1">
      <c r="A703" s="58"/>
      <c r="B703" s="59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AA703" s="36"/>
      <c r="AB703" s="36"/>
    </row>
    <row r="704" ht="12.75" customHeight="1">
      <c r="A704" s="58"/>
      <c r="B704" s="59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AA704" s="36"/>
      <c r="AB704" s="36"/>
    </row>
    <row r="705" ht="12.75" customHeight="1">
      <c r="A705" s="58"/>
      <c r="B705" s="59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AA705" s="36"/>
      <c r="AB705" s="36"/>
    </row>
    <row r="706" ht="12.75" customHeight="1">
      <c r="A706" s="58"/>
      <c r="B706" s="59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AA706" s="36"/>
      <c r="AB706" s="36"/>
    </row>
    <row r="707" ht="12.75" customHeight="1">
      <c r="A707" s="58"/>
      <c r="B707" s="59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AA707" s="36"/>
      <c r="AB707" s="36"/>
    </row>
    <row r="708" ht="12.75" customHeight="1">
      <c r="A708" s="58"/>
      <c r="B708" s="59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AA708" s="36"/>
      <c r="AB708" s="36"/>
    </row>
    <row r="709" ht="12.75" customHeight="1">
      <c r="A709" s="58"/>
      <c r="B709" s="59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AA709" s="36"/>
      <c r="AB709" s="36"/>
    </row>
    <row r="710" ht="12.75" customHeight="1">
      <c r="A710" s="58"/>
      <c r="B710" s="59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AA710" s="36"/>
      <c r="AB710" s="36"/>
    </row>
    <row r="711" ht="12.75" customHeight="1">
      <c r="A711" s="58"/>
      <c r="B711" s="59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AA711" s="36"/>
      <c r="AB711" s="36"/>
    </row>
    <row r="712" ht="12.75" customHeight="1">
      <c r="A712" s="58"/>
      <c r="B712" s="59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AA712" s="36"/>
      <c r="AB712" s="36"/>
    </row>
    <row r="713" ht="12.75" customHeight="1">
      <c r="A713" s="58"/>
      <c r="B713" s="59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AA713" s="36"/>
      <c r="AB713" s="36"/>
    </row>
    <row r="714" ht="12.75" customHeight="1">
      <c r="A714" s="58"/>
      <c r="B714" s="59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AA714" s="36"/>
      <c r="AB714" s="36"/>
    </row>
    <row r="715" ht="12.75" customHeight="1">
      <c r="A715" s="58"/>
      <c r="B715" s="59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AA715" s="36"/>
      <c r="AB715" s="36"/>
    </row>
    <row r="716" ht="12.75" customHeight="1">
      <c r="A716" s="58"/>
      <c r="B716" s="59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AA716" s="36"/>
      <c r="AB716" s="36"/>
    </row>
    <row r="717" ht="12.75" customHeight="1">
      <c r="A717" s="58"/>
      <c r="B717" s="59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AA717" s="36"/>
      <c r="AB717" s="36"/>
    </row>
    <row r="718" ht="12.75" customHeight="1">
      <c r="A718" s="58"/>
      <c r="B718" s="59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AA718" s="36"/>
      <c r="AB718" s="36"/>
    </row>
    <row r="719" ht="12.75" customHeight="1">
      <c r="A719" s="58"/>
      <c r="B719" s="59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AA719" s="36"/>
      <c r="AB719" s="36"/>
    </row>
    <row r="720" ht="12.75" customHeight="1">
      <c r="A720" s="58"/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AA720" s="36"/>
      <c r="AB720" s="36"/>
    </row>
    <row r="721" ht="12.75" customHeight="1">
      <c r="A721" s="58"/>
      <c r="B721" s="59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AA721" s="36"/>
      <c r="AB721" s="36"/>
    </row>
    <row r="722" ht="12.75" customHeight="1">
      <c r="A722" s="58"/>
      <c r="B722" s="59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AA722" s="36"/>
      <c r="AB722" s="36"/>
    </row>
    <row r="723" ht="12.75" customHeight="1">
      <c r="A723" s="58"/>
      <c r="B723" s="59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AA723" s="36"/>
      <c r="AB723" s="36"/>
    </row>
    <row r="724" ht="12.75" customHeight="1">
      <c r="A724" s="58"/>
      <c r="B724" s="59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AA724" s="36"/>
      <c r="AB724" s="36"/>
    </row>
    <row r="725" ht="12.75" customHeight="1">
      <c r="A725" s="58"/>
      <c r="B725" s="59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AA725" s="36"/>
      <c r="AB725" s="36"/>
    </row>
    <row r="726" ht="12.75" customHeight="1">
      <c r="A726" s="58"/>
      <c r="B726" s="59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AA726" s="36"/>
      <c r="AB726" s="36"/>
    </row>
    <row r="727" ht="12.75" customHeight="1">
      <c r="A727" s="58"/>
      <c r="B727" s="59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AA727" s="36"/>
      <c r="AB727" s="36"/>
    </row>
    <row r="728" ht="12.75" customHeight="1">
      <c r="A728" s="58"/>
      <c r="B728" s="59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AA728" s="36"/>
      <c r="AB728" s="36"/>
    </row>
    <row r="729" ht="12.75" customHeight="1">
      <c r="A729" s="58"/>
      <c r="B729" s="59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AA729" s="36"/>
      <c r="AB729" s="36"/>
    </row>
    <row r="730" ht="12.75" customHeight="1">
      <c r="A730" s="58"/>
      <c r="B730" s="59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AA730" s="36"/>
      <c r="AB730" s="36"/>
    </row>
    <row r="731" ht="12.75" customHeight="1">
      <c r="A731" s="58"/>
      <c r="B731" s="59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AA731" s="36"/>
      <c r="AB731" s="36"/>
    </row>
    <row r="732" ht="12.75" customHeight="1">
      <c r="A732" s="58"/>
      <c r="B732" s="59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AA732" s="36"/>
      <c r="AB732" s="36"/>
    </row>
    <row r="733" ht="12.75" customHeight="1">
      <c r="A733" s="58"/>
      <c r="B733" s="59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AA733" s="36"/>
      <c r="AB733" s="36"/>
    </row>
    <row r="734" ht="12.75" customHeight="1">
      <c r="A734" s="58"/>
      <c r="B734" s="59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AA734" s="36"/>
      <c r="AB734" s="36"/>
    </row>
    <row r="735" ht="12.75" customHeight="1">
      <c r="A735" s="58"/>
      <c r="B735" s="59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AA735" s="36"/>
      <c r="AB735" s="36"/>
    </row>
    <row r="736" ht="12.75" customHeight="1">
      <c r="A736" s="58"/>
      <c r="B736" s="59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AA736" s="36"/>
      <c r="AB736" s="36"/>
    </row>
    <row r="737" ht="12.75" customHeight="1">
      <c r="A737" s="58"/>
      <c r="B737" s="59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AA737" s="36"/>
      <c r="AB737" s="36"/>
    </row>
    <row r="738" ht="12.75" customHeight="1">
      <c r="A738" s="58"/>
      <c r="B738" s="59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AA738" s="36"/>
      <c r="AB738" s="36"/>
    </row>
    <row r="739" ht="12.75" customHeight="1">
      <c r="A739" s="58"/>
      <c r="B739" s="59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AA739" s="36"/>
      <c r="AB739" s="36"/>
    </row>
    <row r="740" ht="12.75" customHeight="1">
      <c r="A740" s="58"/>
      <c r="B740" s="59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AA740" s="36"/>
      <c r="AB740" s="36"/>
    </row>
    <row r="741" ht="12.75" customHeight="1">
      <c r="A741" s="58"/>
      <c r="B741" s="59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AA741" s="36"/>
      <c r="AB741" s="36"/>
    </row>
    <row r="742" ht="12.75" customHeight="1">
      <c r="A742" s="58"/>
      <c r="B742" s="59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AA742" s="36"/>
      <c r="AB742" s="36"/>
    </row>
    <row r="743" ht="12.75" customHeight="1">
      <c r="A743" s="58"/>
      <c r="B743" s="59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AA743" s="36"/>
      <c r="AB743" s="36"/>
    </row>
    <row r="744" ht="12.75" customHeight="1">
      <c r="A744" s="58"/>
      <c r="B744" s="59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AA744" s="36"/>
      <c r="AB744" s="36"/>
    </row>
    <row r="745" ht="12.75" customHeight="1">
      <c r="A745" s="58"/>
      <c r="B745" s="59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AA745" s="36"/>
      <c r="AB745" s="36"/>
    </row>
    <row r="746" ht="12.75" customHeight="1">
      <c r="A746" s="58"/>
      <c r="B746" s="59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AA746" s="36"/>
      <c r="AB746" s="36"/>
    </row>
    <row r="747" ht="12.75" customHeight="1">
      <c r="A747" s="58"/>
      <c r="B747" s="59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AA747" s="36"/>
      <c r="AB747" s="36"/>
    </row>
    <row r="748" ht="12.75" customHeight="1">
      <c r="A748" s="58"/>
      <c r="B748" s="59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AA748" s="36"/>
      <c r="AB748" s="36"/>
    </row>
    <row r="749" ht="12.75" customHeight="1">
      <c r="A749" s="58"/>
      <c r="B749" s="59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AA749" s="36"/>
      <c r="AB749" s="36"/>
    </row>
    <row r="750" ht="12.75" customHeight="1">
      <c r="A750" s="58"/>
      <c r="B750" s="59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AA750" s="36"/>
      <c r="AB750" s="36"/>
    </row>
    <row r="751" ht="12.75" customHeight="1">
      <c r="A751" s="58"/>
      <c r="B751" s="59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AA751" s="36"/>
      <c r="AB751" s="36"/>
    </row>
    <row r="752" ht="12.75" customHeight="1">
      <c r="A752" s="58"/>
      <c r="B752" s="59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AA752" s="36"/>
      <c r="AB752" s="36"/>
    </row>
    <row r="753" ht="12.75" customHeight="1">
      <c r="A753" s="58"/>
      <c r="B753" s="59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AA753" s="36"/>
      <c r="AB753" s="36"/>
    </row>
    <row r="754" ht="12.75" customHeight="1">
      <c r="A754" s="58"/>
      <c r="B754" s="59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AA754" s="36"/>
      <c r="AB754" s="36"/>
    </row>
    <row r="755" ht="12.75" customHeight="1">
      <c r="A755" s="58"/>
      <c r="B755" s="59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AA755" s="36"/>
      <c r="AB755" s="36"/>
    </row>
    <row r="756" ht="12.75" customHeight="1">
      <c r="A756" s="58"/>
      <c r="B756" s="59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AA756" s="36"/>
      <c r="AB756" s="36"/>
    </row>
    <row r="757" ht="12.75" customHeight="1">
      <c r="A757" s="58"/>
      <c r="B757" s="59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AA757" s="36"/>
      <c r="AB757" s="36"/>
    </row>
    <row r="758" ht="12.75" customHeight="1">
      <c r="A758" s="58"/>
      <c r="B758" s="59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AA758" s="36"/>
      <c r="AB758" s="36"/>
    </row>
    <row r="759" ht="12.75" customHeight="1">
      <c r="A759" s="58"/>
      <c r="B759" s="59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AA759" s="36"/>
      <c r="AB759" s="36"/>
    </row>
    <row r="760" ht="12.75" customHeight="1">
      <c r="A760" s="58"/>
      <c r="B760" s="59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AA760" s="36"/>
      <c r="AB760" s="36"/>
    </row>
    <row r="761" ht="12.75" customHeight="1">
      <c r="A761" s="58"/>
      <c r="B761" s="59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AA761" s="36"/>
      <c r="AB761" s="36"/>
    </row>
    <row r="762" ht="12.75" customHeight="1">
      <c r="A762" s="58"/>
      <c r="B762" s="59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AA762" s="36"/>
      <c r="AB762" s="36"/>
    </row>
    <row r="763" ht="12.75" customHeight="1">
      <c r="A763" s="58"/>
      <c r="B763" s="59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AA763" s="36"/>
      <c r="AB763" s="36"/>
    </row>
    <row r="764" ht="12.75" customHeight="1">
      <c r="A764" s="58"/>
      <c r="B764" s="59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AA764" s="36"/>
      <c r="AB764" s="36"/>
    </row>
    <row r="765" ht="12.75" customHeight="1">
      <c r="A765" s="58"/>
      <c r="B765" s="59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AA765" s="36"/>
      <c r="AB765" s="36"/>
    </row>
    <row r="766" ht="12.75" customHeight="1">
      <c r="A766" s="58"/>
      <c r="B766" s="59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AA766" s="36"/>
      <c r="AB766" s="36"/>
    </row>
    <row r="767" ht="12.75" customHeight="1">
      <c r="A767" s="58"/>
      <c r="B767" s="59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AA767" s="36"/>
      <c r="AB767" s="36"/>
    </row>
    <row r="768" ht="12.75" customHeight="1">
      <c r="A768" s="58"/>
      <c r="B768" s="59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AA768" s="36"/>
      <c r="AB768" s="36"/>
    </row>
    <row r="769" ht="12.75" customHeight="1">
      <c r="A769" s="58"/>
      <c r="B769" s="59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AA769" s="36"/>
      <c r="AB769" s="36"/>
    </row>
    <row r="770" ht="12.75" customHeight="1">
      <c r="A770" s="58"/>
      <c r="B770" s="59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AA770" s="36"/>
      <c r="AB770" s="36"/>
    </row>
    <row r="771" ht="12.75" customHeight="1">
      <c r="A771" s="58"/>
      <c r="B771" s="59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AA771" s="36"/>
      <c r="AB771" s="36"/>
    </row>
    <row r="772" ht="12.75" customHeight="1">
      <c r="A772" s="58"/>
      <c r="B772" s="59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AA772" s="36"/>
      <c r="AB772" s="36"/>
    </row>
    <row r="773" ht="12.75" customHeight="1">
      <c r="A773" s="58"/>
      <c r="B773" s="59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AA773" s="36"/>
      <c r="AB773" s="36"/>
    </row>
    <row r="774" ht="12.75" customHeight="1">
      <c r="A774" s="58"/>
      <c r="B774" s="59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AA774" s="36"/>
      <c r="AB774" s="36"/>
    </row>
    <row r="775" ht="12.75" customHeight="1">
      <c r="A775" s="58"/>
      <c r="B775" s="59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AA775" s="36"/>
      <c r="AB775" s="36"/>
    </row>
    <row r="776" ht="12.75" customHeight="1">
      <c r="A776" s="58"/>
      <c r="B776" s="59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AA776" s="36"/>
      <c r="AB776" s="36"/>
    </row>
    <row r="777" ht="12.75" customHeight="1">
      <c r="A777" s="58"/>
      <c r="B777" s="59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AA777" s="36"/>
      <c r="AB777" s="36"/>
    </row>
    <row r="778" ht="12.75" customHeight="1">
      <c r="A778" s="58"/>
      <c r="B778" s="59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AA778" s="36"/>
      <c r="AB778" s="36"/>
    </row>
    <row r="779" ht="12.75" customHeight="1">
      <c r="A779" s="58"/>
      <c r="B779" s="59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AA779" s="36"/>
      <c r="AB779" s="36"/>
    </row>
    <row r="780" ht="12.75" customHeight="1">
      <c r="A780" s="58"/>
      <c r="B780" s="59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AA780" s="36"/>
      <c r="AB780" s="36"/>
    </row>
    <row r="781" ht="12.75" customHeight="1">
      <c r="A781" s="58"/>
      <c r="B781" s="59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AA781" s="36"/>
      <c r="AB781" s="36"/>
    </row>
    <row r="782" ht="12.75" customHeight="1">
      <c r="A782" s="58"/>
      <c r="B782" s="59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AA782" s="36"/>
      <c r="AB782" s="36"/>
    </row>
    <row r="783" ht="12.75" customHeight="1">
      <c r="A783" s="58"/>
      <c r="B783" s="59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AA783" s="36"/>
      <c r="AB783" s="36"/>
    </row>
    <row r="784" ht="12.75" customHeight="1">
      <c r="A784" s="58"/>
      <c r="B784" s="59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AA784" s="36"/>
      <c r="AB784" s="36"/>
    </row>
    <row r="785" ht="12.75" customHeight="1">
      <c r="A785" s="58"/>
      <c r="B785" s="59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AA785" s="36"/>
      <c r="AB785" s="36"/>
    </row>
    <row r="786" ht="12.75" customHeight="1">
      <c r="A786" s="58"/>
      <c r="B786" s="59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AA786" s="36"/>
      <c r="AB786" s="36"/>
    </row>
    <row r="787" ht="12.75" customHeight="1">
      <c r="A787" s="58"/>
      <c r="B787" s="59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AA787" s="36"/>
      <c r="AB787" s="36"/>
    </row>
    <row r="788" ht="12.75" customHeight="1">
      <c r="A788" s="58"/>
      <c r="B788" s="59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AA788" s="36"/>
      <c r="AB788" s="36"/>
    </row>
    <row r="789" ht="12.75" customHeight="1">
      <c r="A789" s="58"/>
      <c r="B789" s="59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AA789" s="36"/>
      <c r="AB789" s="36"/>
    </row>
    <row r="790" ht="12.75" customHeight="1">
      <c r="A790" s="58"/>
      <c r="B790" s="59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AA790" s="36"/>
      <c r="AB790" s="36"/>
    </row>
    <row r="791" ht="12.75" customHeight="1">
      <c r="A791" s="58"/>
      <c r="B791" s="59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AA791" s="36"/>
      <c r="AB791" s="36"/>
    </row>
    <row r="792" ht="12.75" customHeight="1">
      <c r="A792" s="58"/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AA792" s="36"/>
      <c r="AB792" s="36"/>
    </row>
    <row r="793" ht="12.75" customHeight="1">
      <c r="A793" s="58"/>
      <c r="B793" s="59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AA793" s="36"/>
      <c r="AB793" s="36"/>
    </row>
    <row r="794" ht="12.75" customHeight="1">
      <c r="A794" s="58"/>
      <c r="B794" s="59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AA794" s="36"/>
      <c r="AB794" s="36"/>
    </row>
    <row r="795" ht="12.75" customHeight="1">
      <c r="A795" s="58"/>
      <c r="B795" s="59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AA795" s="36"/>
      <c r="AB795" s="36"/>
    </row>
    <row r="796" ht="12.75" customHeight="1">
      <c r="A796" s="58"/>
      <c r="B796" s="59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AA796" s="36"/>
      <c r="AB796" s="36"/>
    </row>
    <row r="797" ht="12.75" customHeight="1">
      <c r="A797" s="58"/>
      <c r="B797" s="59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AA797" s="36"/>
      <c r="AB797" s="36"/>
    </row>
    <row r="798" ht="12.75" customHeight="1">
      <c r="A798" s="58"/>
      <c r="B798" s="59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AA798" s="36"/>
      <c r="AB798" s="36"/>
    </row>
    <row r="799" ht="12.75" customHeight="1">
      <c r="A799" s="58"/>
      <c r="B799" s="59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AA799" s="36"/>
      <c r="AB799" s="36"/>
    </row>
    <row r="800" ht="12.75" customHeight="1">
      <c r="A800" s="58"/>
      <c r="B800" s="59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AA800" s="36"/>
      <c r="AB800" s="36"/>
    </row>
    <row r="801" ht="12.75" customHeight="1">
      <c r="A801" s="58"/>
      <c r="B801" s="59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AA801" s="36"/>
      <c r="AB801" s="36"/>
    </row>
    <row r="802" ht="12.75" customHeight="1">
      <c r="A802" s="58"/>
      <c r="B802" s="59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AA802" s="36"/>
      <c r="AB802" s="36"/>
    </row>
    <row r="803" ht="12.75" customHeight="1">
      <c r="A803" s="58"/>
      <c r="B803" s="59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AA803" s="36"/>
      <c r="AB803" s="36"/>
    </row>
    <row r="804" ht="12.75" customHeight="1">
      <c r="A804" s="58"/>
      <c r="B804" s="59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AA804" s="36"/>
      <c r="AB804" s="36"/>
    </row>
    <row r="805" ht="12.75" customHeight="1">
      <c r="A805" s="58"/>
      <c r="B805" s="59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AA805" s="36"/>
      <c r="AB805" s="36"/>
    </row>
    <row r="806" ht="12.75" customHeight="1">
      <c r="A806" s="58"/>
      <c r="B806" s="59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AA806" s="36"/>
      <c r="AB806" s="36"/>
    </row>
    <row r="807" ht="12.75" customHeight="1">
      <c r="A807" s="58"/>
      <c r="B807" s="59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AA807" s="36"/>
      <c r="AB807" s="36"/>
    </row>
    <row r="808" ht="12.75" customHeight="1">
      <c r="A808" s="58"/>
      <c r="B808" s="59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AA808" s="36"/>
      <c r="AB808" s="36"/>
    </row>
    <row r="809" ht="12.75" customHeight="1">
      <c r="A809" s="58"/>
      <c r="B809" s="59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AA809" s="36"/>
      <c r="AB809" s="36"/>
    </row>
    <row r="810" ht="12.75" customHeight="1">
      <c r="A810" s="58"/>
      <c r="B810" s="59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AA810" s="36"/>
      <c r="AB810" s="36"/>
    </row>
    <row r="811" ht="12.75" customHeight="1">
      <c r="A811" s="58"/>
      <c r="B811" s="59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AA811" s="36"/>
      <c r="AB811" s="36"/>
    </row>
    <row r="812" ht="12.75" customHeight="1">
      <c r="A812" s="58"/>
      <c r="B812" s="59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AA812" s="36"/>
      <c r="AB812" s="36"/>
    </row>
    <row r="813" ht="12.75" customHeight="1">
      <c r="A813" s="58"/>
      <c r="B813" s="59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AA813" s="36"/>
      <c r="AB813" s="36"/>
    </row>
    <row r="814" ht="12.75" customHeight="1">
      <c r="A814" s="58"/>
      <c r="B814" s="59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AA814" s="36"/>
      <c r="AB814" s="36"/>
    </row>
    <row r="815" ht="12.75" customHeight="1">
      <c r="A815" s="58"/>
      <c r="B815" s="59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AA815" s="36"/>
      <c r="AB815" s="36"/>
    </row>
    <row r="816" ht="12.75" customHeight="1">
      <c r="A816" s="58"/>
      <c r="B816" s="59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AA816" s="36"/>
      <c r="AB816" s="36"/>
    </row>
    <row r="817" ht="12.75" customHeight="1">
      <c r="A817" s="58"/>
      <c r="B817" s="59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AA817" s="36"/>
      <c r="AB817" s="36"/>
    </row>
    <row r="818" ht="12.75" customHeight="1">
      <c r="A818" s="58"/>
      <c r="B818" s="59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AA818" s="36"/>
      <c r="AB818" s="36"/>
    </row>
    <row r="819" ht="12.75" customHeight="1">
      <c r="A819" s="58"/>
      <c r="B819" s="59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AA819" s="36"/>
      <c r="AB819" s="36"/>
    </row>
    <row r="820" ht="12.75" customHeight="1">
      <c r="A820" s="58"/>
      <c r="B820" s="59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AA820" s="36"/>
      <c r="AB820" s="36"/>
    </row>
    <row r="821" ht="12.75" customHeight="1">
      <c r="A821" s="58"/>
      <c r="B821" s="59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AA821" s="36"/>
      <c r="AB821" s="36"/>
    </row>
    <row r="822" ht="12.75" customHeight="1">
      <c r="A822" s="58"/>
      <c r="B822" s="59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AA822" s="36"/>
      <c r="AB822" s="36"/>
    </row>
    <row r="823" ht="12.75" customHeight="1">
      <c r="A823" s="58"/>
      <c r="B823" s="59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AA823" s="36"/>
      <c r="AB823" s="36"/>
    </row>
    <row r="824" ht="12.75" customHeight="1">
      <c r="A824" s="58"/>
      <c r="B824" s="59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AA824" s="36"/>
      <c r="AB824" s="36"/>
    </row>
    <row r="825" ht="12.75" customHeight="1">
      <c r="A825" s="58"/>
      <c r="B825" s="59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AA825" s="36"/>
      <c r="AB825" s="36"/>
    </row>
    <row r="826" ht="12.75" customHeight="1">
      <c r="A826" s="58"/>
      <c r="B826" s="59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AA826" s="36"/>
      <c r="AB826" s="36"/>
    </row>
    <row r="827" ht="12.75" customHeight="1">
      <c r="A827" s="58"/>
      <c r="B827" s="59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AA827" s="36"/>
      <c r="AB827" s="36"/>
    </row>
    <row r="828" ht="12.75" customHeight="1">
      <c r="A828" s="58"/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AA828" s="36"/>
      <c r="AB828" s="36"/>
    </row>
    <row r="829" ht="12.75" customHeight="1">
      <c r="A829" s="58"/>
      <c r="B829" s="59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AA829" s="36"/>
      <c r="AB829" s="36"/>
    </row>
    <row r="830" ht="12.75" customHeight="1">
      <c r="A830" s="58"/>
      <c r="B830" s="59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AA830" s="36"/>
      <c r="AB830" s="36"/>
    </row>
    <row r="831" ht="12.75" customHeight="1">
      <c r="A831" s="58"/>
      <c r="B831" s="59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AA831" s="36"/>
      <c r="AB831" s="36"/>
    </row>
    <row r="832" ht="12.75" customHeight="1">
      <c r="A832" s="58"/>
      <c r="B832" s="59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AA832" s="36"/>
      <c r="AB832" s="36"/>
    </row>
    <row r="833" ht="12.75" customHeight="1">
      <c r="A833" s="58"/>
      <c r="B833" s="59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AA833" s="36"/>
      <c r="AB833" s="36"/>
    </row>
    <row r="834" ht="12.75" customHeight="1">
      <c r="A834" s="58"/>
      <c r="B834" s="59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AA834" s="36"/>
      <c r="AB834" s="36"/>
    </row>
    <row r="835" ht="12.75" customHeight="1">
      <c r="A835" s="58"/>
      <c r="B835" s="59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AA835" s="36"/>
      <c r="AB835" s="36"/>
    </row>
    <row r="836" ht="12.75" customHeight="1">
      <c r="A836" s="58"/>
      <c r="B836" s="59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AA836" s="36"/>
      <c r="AB836" s="36"/>
    </row>
    <row r="837" ht="12.75" customHeight="1">
      <c r="A837" s="58"/>
      <c r="B837" s="59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AA837" s="36"/>
      <c r="AB837" s="36"/>
    </row>
    <row r="838" ht="12.75" customHeight="1">
      <c r="A838" s="58"/>
      <c r="B838" s="59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AA838" s="36"/>
      <c r="AB838" s="36"/>
    </row>
    <row r="839" ht="12.75" customHeight="1">
      <c r="A839" s="58"/>
      <c r="B839" s="59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AA839" s="36"/>
      <c r="AB839" s="36"/>
    </row>
    <row r="840" ht="12.75" customHeight="1">
      <c r="A840" s="58"/>
      <c r="B840" s="59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AA840" s="36"/>
      <c r="AB840" s="36"/>
    </row>
    <row r="841" ht="12.75" customHeight="1">
      <c r="A841" s="58"/>
      <c r="B841" s="59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AA841" s="36"/>
      <c r="AB841" s="36"/>
    </row>
    <row r="842" ht="12.75" customHeight="1">
      <c r="A842" s="58"/>
      <c r="B842" s="59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AA842" s="36"/>
      <c r="AB842" s="36"/>
    </row>
    <row r="843" ht="12.75" customHeight="1">
      <c r="A843" s="58"/>
      <c r="B843" s="59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AA843" s="36"/>
      <c r="AB843" s="36"/>
    </row>
    <row r="844" ht="12.75" customHeight="1">
      <c r="A844" s="58"/>
      <c r="B844" s="59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AA844" s="36"/>
      <c r="AB844" s="36"/>
    </row>
    <row r="845" ht="12.75" customHeight="1">
      <c r="A845" s="58"/>
      <c r="B845" s="59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AA845" s="36"/>
      <c r="AB845" s="36"/>
    </row>
    <row r="846" ht="12.75" customHeight="1">
      <c r="A846" s="58"/>
      <c r="B846" s="59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AA846" s="36"/>
      <c r="AB846" s="36"/>
    </row>
    <row r="847" ht="12.75" customHeight="1">
      <c r="A847" s="58"/>
      <c r="B847" s="59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AA847" s="36"/>
      <c r="AB847" s="36"/>
    </row>
    <row r="848" ht="12.75" customHeight="1">
      <c r="A848" s="58"/>
      <c r="B848" s="59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AA848" s="36"/>
      <c r="AB848" s="36"/>
    </row>
    <row r="849" ht="12.75" customHeight="1">
      <c r="A849" s="58"/>
      <c r="B849" s="59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AA849" s="36"/>
      <c r="AB849" s="36"/>
    </row>
    <row r="850" ht="12.75" customHeight="1">
      <c r="A850" s="58"/>
      <c r="B850" s="59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AA850" s="36"/>
      <c r="AB850" s="36"/>
    </row>
    <row r="851" ht="12.75" customHeight="1">
      <c r="A851" s="58"/>
      <c r="B851" s="59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AA851" s="36"/>
      <c r="AB851" s="36"/>
    </row>
    <row r="852" ht="12.75" customHeight="1">
      <c r="A852" s="58"/>
      <c r="B852" s="59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AA852" s="36"/>
      <c r="AB852" s="36"/>
    </row>
    <row r="853" ht="12.75" customHeight="1">
      <c r="A853" s="58"/>
      <c r="B853" s="59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AA853" s="36"/>
      <c r="AB853" s="36"/>
    </row>
    <row r="854" ht="12.75" customHeight="1">
      <c r="A854" s="58"/>
      <c r="B854" s="59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AA854" s="36"/>
      <c r="AB854" s="36"/>
    </row>
    <row r="855" ht="12.75" customHeight="1">
      <c r="A855" s="58"/>
      <c r="B855" s="59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AA855" s="36"/>
      <c r="AB855" s="36"/>
    </row>
    <row r="856" ht="12.75" customHeight="1">
      <c r="A856" s="58"/>
      <c r="B856" s="59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AA856" s="36"/>
      <c r="AB856" s="36"/>
    </row>
    <row r="857" ht="12.75" customHeight="1">
      <c r="A857" s="58"/>
      <c r="B857" s="59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AA857" s="36"/>
      <c r="AB857" s="36"/>
    </row>
    <row r="858" ht="12.75" customHeight="1">
      <c r="A858" s="58"/>
      <c r="B858" s="59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AA858" s="36"/>
      <c r="AB858" s="36"/>
    </row>
    <row r="859" ht="12.75" customHeight="1">
      <c r="A859" s="58"/>
      <c r="B859" s="59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AA859" s="36"/>
      <c r="AB859" s="36"/>
    </row>
    <row r="860" ht="12.75" customHeight="1">
      <c r="A860" s="58"/>
      <c r="B860" s="59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AA860" s="36"/>
      <c r="AB860" s="36"/>
    </row>
    <row r="861" ht="12.75" customHeight="1">
      <c r="A861" s="58"/>
      <c r="B861" s="59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AA861" s="36"/>
      <c r="AB861" s="36"/>
    </row>
    <row r="862" ht="12.75" customHeight="1">
      <c r="A862" s="58"/>
      <c r="B862" s="59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AA862" s="36"/>
      <c r="AB862" s="36"/>
    </row>
    <row r="863" ht="12.75" customHeight="1">
      <c r="A863" s="58"/>
      <c r="B863" s="59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AA863" s="36"/>
      <c r="AB863" s="36"/>
    </row>
    <row r="864" ht="12.75" customHeight="1">
      <c r="A864" s="58"/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AA864" s="36"/>
      <c r="AB864" s="36"/>
    </row>
    <row r="865" ht="12.75" customHeight="1">
      <c r="A865" s="58"/>
      <c r="B865" s="59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AA865" s="36"/>
      <c r="AB865" s="36"/>
    </row>
    <row r="866" ht="12.75" customHeight="1">
      <c r="A866" s="58"/>
      <c r="B866" s="59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AA866" s="36"/>
      <c r="AB866" s="36"/>
    </row>
    <row r="867" ht="12.75" customHeight="1">
      <c r="A867" s="58"/>
      <c r="B867" s="59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AA867" s="36"/>
      <c r="AB867" s="36"/>
    </row>
    <row r="868" ht="12.75" customHeight="1">
      <c r="A868" s="58"/>
      <c r="B868" s="59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AA868" s="36"/>
      <c r="AB868" s="36"/>
    </row>
    <row r="869" ht="12.75" customHeight="1">
      <c r="A869" s="58"/>
      <c r="B869" s="59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AA869" s="36"/>
      <c r="AB869" s="36"/>
    </row>
    <row r="870" ht="12.75" customHeight="1">
      <c r="A870" s="58"/>
      <c r="B870" s="59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AA870" s="36"/>
      <c r="AB870" s="36"/>
    </row>
    <row r="871" ht="12.75" customHeight="1">
      <c r="A871" s="58"/>
      <c r="B871" s="59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AA871" s="36"/>
      <c r="AB871" s="36"/>
    </row>
    <row r="872" ht="12.75" customHeight="1">
      <c r="A872" s="58"/>
      <c r="B872" s="59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AA872" s="36"/>
      <c r="AB872" s="36"/>
    </row>
    <row r="873" ht="12.75" customHeight="1">
      <c r="A873" s="58"/>
      <c r="B873" s="59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AA873" s="36"/>
      <c r="AB873" s="36"/>
    </row>
    <row r="874" ht="12.75" customHeight="1">
      <c r="A874" s="58"/>
      <c r="B874" s="59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AA874" s="36"/>
      <c r="AB874" s="36"/>
    </row>
    <row r="875" ht="12.75" customHeight="1">
      <c r="A875" s="58"/>
      <c r="B875" s="59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AA875" s="36"/>
      <c r="AB875" s="36"/>
    </row>
    <row r="876" ht="12.75" customHeight="1">
      <c r="A876" s="58"/>
      <c r="B876" s="59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AA876" s="36"/>
      <c r="AB876" s="36"/>
    </row>
    <row r="877" ht="12.75" customHeight="1">
      <c r="A877" s="58"/>
      <c r="B877" s="59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AA877" s="36"/>
      <c r="AB877" s="36"/>
    </row>
    <row r="878" ht="12.75" customHeight="1">
      <c r="A878" s="58"/>
      <c r="B878" s="59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AA878" s="36"/>
      <c r="AB878" s="36"/>
    </row>
    <row r="879" ht="12.75" customHeight="1">
      <c r="A879" s="58"/>
      <c r="B879" s="59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AA879" s="36"/>
      <c r="AB879" s="36"/>
    </row>
    <row r="880" ht="12.75" customHeight="1">
      <c r="A880" s="58"/>
      <c r="B880" s="59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AA880" s="36"/>
      <c r="AB880" s="36"/>
    </row>
    <row r="881" ht="12.75" customHeight="1">
      <c r="A881" s="58"/>
      <c r="B881" s="59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AA881" s="36"/>
      <c r="AB881" s="36"/>
    </row>
    <row r="882" ht="12.75" customHeight="1">
      <c r="A882" s="58"/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AA882" s="36"/>
      <c r="AB882" s="36"/>
    </row>
    <row r="883" ht="12.75" customHeight="1">
      <c r="A883" s="58"/>
      <c r="B883" s="59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AA883" s="36"/>
      <c r="AB883" s="36"/>
    </row>
    <row r="884" ht="12.75" customHeight="1">
      <c r="A884" s="58"/>
      <c r="B884" s="59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AA884" s="36"/>
      <c r="AB884" s="36"/>
    </row>
    <row r="885" ht="12.75" customHeight="1">
      <c r="A885" s="58"/>
      <c r="B885" s="59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AA885" s="36"/>
      <c r="AB885" s="36"/>
    </row>
    <row r="886" ht="12.75" customHeight="1">
      <c r="A886" s="58"/>
      <c r="B886" s="59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AA886" s="36"/>
      <c r="AB886" s="36"/>
    </row>
    <row r="887" ht="12.75" customHeight="1">
      <c r="A887" s="58"/>
      <c r="B887" s="59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AA887" s="36"/>
      <c r="AB887" s="36"/>
    </row>
    <row r="888" ht="12.75" customHeight="1">
      <c r="A888" s="58"/>
      <c r="B888" s="59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AA888" s="36"/>
      <c r="AB888" s="36"/>
    </row>
    <row r="889" ht="12.75" customHeight="1">
      <c r="A889" s="58"/>
      <c r="B889" s="59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AA889" s="36"/>
      <c r="AB889" s="36"/>
    </row>
    <row r="890" ht="12.75" customHeight="1">
      <c r="A890" s="58"/>
      <c r="B890" s="59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AA890" s="36"/>
      <c r="AB890" s="36"/>
    </row>
    <row r="891" ht="12.75" customHeight="1">
      <c r="A891" s="58"/>
      <c r="B891" s="59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AA891" s="36"/>
      <c r="AB891" s="36"/>
    </row>
    <row r="892" ht="12.75" customHeight="1">
      <c r="A892" s="58"/>
      <c r="B892" s="59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AA892" s="36"/>
      <c r="AB892" s="36"/>
    </row>
    <row r="893" ht="12.75" customHeight="1">
      <c r="A893" s="58"/>
      <c r="B893" s="59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AA893" s="36"/>
      <c r="AB893" s="36"/>
    </row>
    <row r="894" ht="12.75" customHeight="1">
      <c r="A894" s="58"/>
      <c r="B894" s="59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AA894" s="36"/>
      <c r="AB894" s="36"/>
    </row>
    <row r="895" ht="12.75" customHeight="1">
      <c r="A895" s="58"/>
      <c r="B895" s="59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AA895" s="36"/>
      <c r="AB895" s="36"/>
    </row>
    <row r="896" ht="12.75" customHeight="1">
      <c r="A896" s="58"/>
      <c r="B896" s="59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AA896" s="36"/>
      <c r="AB896" s="36"/>
    </row>
    <row r="897" ht="12.75" customHeight="1">
      <c r="A897" s="58"/>
      <c r="B897" s="59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AA897" s="36"/>
      <c r="AB897" s="36"/>
    </row>
    <row r="898" ht="12.75" customHeight="1">
      <c r="A898" s="58"/>
      <c r="B898" s="59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AA898" s="36"/>
      <c r="AB898" s="36"/>
    </row>
    <row r="899" ht="12.75" customHeight="1">
      <c r="A899" s="58"/>
      <c r="B899" s="59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AA899" s="36"/>
      <c r="AB899" s="36"/>
    </row>
    <row r="900" ht="12.75" customHeight="1">
      <c r="A900" s="58"/>
      <c r="B900" s="59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AA900" s="36"/>
      <c r="AB900" s="36"/>
    </row>
    <row r="901" ht="12.75" customHeight="1">
      <c r="A901" s="58"/>
      <c r="B901" s="59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AA901" s="36"/>
      <c r="AB901" s="36"/>
    </row>
    <row r="902" ht="12.75" customHeight="1">
      <c r="A902" s="58"/>
      <c r="B902" s="59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AA902" s="36"/>
      <c r="AB902" s="36"/>
    </row>
    <row r="903" ht="12.75" customHeight="1">
      <c r="A903" s="58"/>
      <c r="B903" s="59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AA903" s="36"/>
      <c r="AB903" s="36"/>
    </row>
    <row r="904" ht="12.75" customHeight="1">
      <c r="A904" s="58"/>
      <c r="B904" s="59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AA904" s="36"/>
      <c r="AB904" s="36"/>
    </row>
    <row r="905" ht="12.75" customHeight="1">
      <c r="A905" s="58"/>
      <c r="B905" s="59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AA905" s="36"/>
      <c r="AB905" s="36"/>
    </row>
    <row r="906" ht="12.75" customHeight="1">
      <c r="A906" s="58"/>
      <c r="B906" s="59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AA906" s="36"/>
      <c r="AB906" s="36"/>
    </row>
    <row r="907" ht="12.75" customHeight="1">
      <c r="A907" s="58"/>
      <c r="B907" s="59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AA907" s="36"/>
      <c r="AB907" s="36"/>
    </row>
    <row r="908" ht="12.75" customHeight="1">
      <c r="A908" s="58"/>
      <c r="B908" s="59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AA908" s="36"/>
      <c r="AB908" s="36"/>
    </row>
    <row r="909" ht="12.75" customHeight="1">
      <c r="A909" s="58"/>
      <c r="B909" s="59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AA909" s="36"/>
      <c r="AB909" s="36"/>
    </row>
    <row r="910" ht="12.75" customHeight="1">
      <c r="A910" s="58"/>
      <c r="B910" s="59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AA910" s="36"/>
      <c r="AB910" s="36"/>
    </row>
    <row r="911" ht="12.75" customHeight="1">
      <c r="A911" s="58"/>
      <c r="B911" s="59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AA911" s="36"/>
      <c r="AB911" s="36"/>
    </row>
    <row r="912" ht="12.75" customHeight="1">
      <c r="A912" s="58"/>
      <c r="B912" s="59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AA912" s="36"/>
      <c r="AB912" s="36"/>
    </row>
    <row r="913" ht="12.75" customHeight="1">
      <c r="A913" s="58"/>
      <c r="B913" s="59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AA913" s="36"/>
      <c r="AB913" s="36"/>
    </row>
    <row r="914" ht="12.75" customHeight="1">
      <c r="A914" s="58"/>
      <c r="B914" s="59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AA914" s="36"/>
      <c r="AB914" s="36"/>
    </row>
    <row r="915" ht="12.75" customHeight="1">
      <c r="A915" s="58"/>
      <c r="B915" s="59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AA915" s="36"/>
      <c r="AB915" s="36"/>
    </row>
    <row r="916" ht="12.75" customHeight="1">
      <c r="A916" s="58"/>
      <c r="B916" s="59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AA916" s="36"/>
      <c r="AB916" s="36"/>
    </row>
    <row r="917" ht="12.75" customHeight="1">
      <c r="A917" s="58"/>
      <c r="B917" s="59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AA917" s="36"/>
      <c r="AB917" s="36"/>
    </row>
    <row r="918" ht="12.75" customHeight="1">
      <c r="A918" s="58"/>
      <c r="B918" s="59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AA918" s="36"/>
      <c r="AB918" s="36"/>
    </row>
    <row r="919" ht="12.75" customHeight="1">
      <c r="A919" s="58"/>
      <c r="B919" s="59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AA919" s="36"/>
      <c r="AB919" s="36"/>
    </row>
    <row r="920" ht="12.75" customHeight="1">
      <c r="A920" s="58"/>
      <c r="B920" s="59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AA920" s="36"/>
      <c r="AB920" s="36"/>
    </row>
    <row r="921" ht="12.75" customHeight="1">
      <c r="A921" s="58"/>
      <c r="B921" s="59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AA921" s="36"/>
      <c r="AB921" s="36"/>
    </row>
    <row r="922" ht="12.75" customHeight="1">
      <c r="A922" s="58"/>
      <c r="B922" s="59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AA922" s="36"/>
      <c r="AB922" s="36"/>
    </row>
    <row r="923" ht="12.75" customHeight="1">
      <c r="A923" s="58"/>
      <c r="B923" s="59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AA923" s="36"/>
      <c r="AB923" s="36"/>
    </row>
    <row r="924" ht="12.75" customHeight="1">
      <c r="A924" s="58"/>
      <c r="B924" s="59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AA924" s="36"/>
      <c r="AB924" s="36"/>
    </row>
    <row r="925" ht="12.75" customHeight="1">
      <c r="A925" s="58"/>
      <c r="B925" s="59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AA925" s="36"/>
      <c r="AB925" s="36"/>
    </row>
    <row r="926" ht="12.75" customHeight="1">
      <c r="A926" s="58"/>
      <c r="B926" s="59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AA926" s="36"/>
      <c r="AB926" s="36"/>
    </row>
    <row r="927" ht="12.75" customHeight="1">
      <c r="A927" s="58"/>
      <c r="B927" s="59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AA927" s="36"/>
      <c r="AB927" s="36"/>
    </row>
    <row r="928" ht="12.75" customHeight="1">
      <c r="A928" s="58"/>
      <c r="B928" s="59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AA928" s="36"/>
      <c r="AB928" s="36"/>
    </row>
    <row r="929" ht="12.75" customHeight="1">
      <c r="A929" s="58"/>
      <c r="B929" s="59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AA929" s="36"/>
      <c r="AB929" s="36"/>
    </row>
    <row r="930" ht="12.75" customHeight="1">
      <c r="A930" s="58"/>
      <c r="B930" s="59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AA930" s="36"/>
      <c r="AB930" s="36"/>
    </row>
    <row r="931" ht="12.75" customHeight="1">
      <c r="A931" s="58"/>
      <c r="B931" s="59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AA931" s="36"/>
      <c r="AB931" s="36"/>
    </row>
    <row r="932" ht="12.75" customHeight="1">
      <c r="A932" s="58"/>
      <c r="B932" s="59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AA932" s="36"/>
      <c r="AB932" s="36"/>
    </row>
    <row r="933" ht="12.75" customHeight="1">
      <c r="A933" s="58"/>
      <c r="B933" s="59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AA933" s="36"/>
      <c r="AB933" s="36"/>
    </row>
    <row r="934" ht="12.75" customHeight="1">
      <c r="A934" s="58"/>
      <c r="B934" s="59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AA934" s="36"/>
      <c r="AB934" s="36"/>
    </row>
    <row r="935" ht="12.75" customHeight="1">
      <c r="A935" s="58"/>
      <c r="B935" s="59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AA935" s="36"/>
      <c r="AB935" s="36"/>
    </row>
    <row r="936" ht="12.75" customHeight="1">
      <c r="A936" s="58"/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AA936" s="36"/>
      <c r="AB936" s="36"/>
    </row>
    <row r="937" ht="12.75" customHeight="1">
      <c r="A937" s="58"/>
      <c r="B937" s="59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AA937" s="36"/>
      <c r="AB937" s="36"/>
    </row>
    <row r="938" ht="12.75" customHeight="1">
      <c r="A938" s="58"/>
      <c r="B938" s="59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AA938" s="36"/>
      <c r="AB938" s="36"/>
    </row>
    <row r="939" ht="12.75" customHeight="1">
      <c r="A939" s="58"/>
      <c r="B939" s="59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AA939" s="36"/>
      <c r="AB939" s="36"/>
    </row>
    <row r="940" ht="12.75" customHeight="1">
      <c r="A940" s="58"/>
      <c r="B940" s="59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AA940" s="36"/>
      <c r="AB940" s="36"/>
    </row>
    <row r="941" ht="12.75" customHeight="1">
      <c r="A941" s="58"/>
      <c r="B941" s="59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AA941" s="36"/>
      <c r="AB941" s="36"/>
    </row>
    <row r="942" ht="12.75" customHeight="1">
      <c r="A942" s="58"/>
      <c r="B942" s="59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AA942" s="36"/>
      <c r="AB942" s="36"/>
    </row>
    <row r="943" ht="12.75" customHeight="1">
      <c r="A943" s="58"/>
      <c r="B943" s="59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AA943" s="36"/>
      <c r="AB943" s="36"/>
    </row>
    <row r="944" ht="12.75" customHeight="1">
      <c r="A944" s="58"/>
      <c r="B944" s="59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AA944" s="36"/>
      <c r="AB944" s="36"/>
    </row>
    <row r="945" ht="12.75" customHeight="1">
      <c r="A945" s="58"/>
      <c r="B945" s="59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AA945" s="36"/>
      <c r="AB945" s="36"/>
    </row>
    <row r="946" ht="12.75" customHeight="1">
      <c r="A946" s="58"/>
      <c r="B946" s="59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AA946" s="36"/>
      <c r="AB946" s="36"/>
    </row>
    <row r="947" ht="12.75" customHeight="1">
      <c r="A947" s="58"/>
      <c r="B947" s="59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AA947" s="36"/>
      <c r="AB947" s="36"/>
    </row>
    <row r="948" ht="12.75" customHeight="1">
      <c r="A948" s="58"/>
      <c r="B948" s="59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AA948" s="36"/>
      <c r="AB948" s="36"/>
    </row>
    <row r="949" ht="12.75" customHeight="1">
      <c r="A949" s="58"/>
      <c r="B949" s="59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AA949" s="36"/>
      <c r="AB949" s="36"/>
    </row>
    <row r="950" ht="12.75" customHeight="1">
      <c r="A950" s="58"/>
      <c r="B950" s="59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AA950" s="36"/>
      <c r="AB950" s="36"/>
    </row>
    <row r="951" ht="12.75" customHeight="1">
      <c r="A951" s="58"/>
      <c r="B951" s="59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AA951" s="36"/>
      <c r="AB951" s="36"/>
    </row>
    <row r="952" ht="12.75" customHeight="1">
      <c r="A952" s="58"/>
      <c r="B952" s="59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AA952" s="36"/>
      <c r="AB952" s="36"/>
    </row>
    <row r="953" ht="12.75" customHeight="1">
      <c r="A953" s="58"/>
      <c r="B953" s="59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AA953" s="36"/>
      <c r="AB953" s="36"/>
    </row>
    <row r="954" ht="12.75" customHeight="1">
      <c r="A954" s="58"/>
      <c r="B954" s="59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AA954" s="36"/>
      <c r="AB954" s="36"/>
    </row>
    <row r="955" ht="12.75" customHeight="1">
      <c r="A955" s="58"/>
      <c r="B955" s="59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AA955" s="36"/>
      <c r="AB955" s="36"/>
    </row>
    <row r="956" ht="12.75" customHeight="1">
      <c r="A956" s="58"/>
      <c r="B956" s="59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AA956" s="36"/>
      <c r="AB956" s="36"/>
    </row>
    <row r="957" ht="12.75" customHeight="1">
      <c r="A957" s="58"/>
      <c r="B957" s="59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AA957" s="36"/>
      <c r="AB957" s="36"/>
    </row>
    <row r="958" ht="12.75" customHeight="1">
      <c r="A958" s="58"/>
      <c r="B958" s="59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AA958" s="36"/>
      <c r="AB958" s="36"/>
    </row>
    <row r="959" ht="12.75" customHeight="1">
      <c r="A959" s="58"/>
      <c r="B959" s="59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AA959" s="36"/>
      <c r="AB959" s="36"/>
    </row>
    <row r="960" ht="12.75" customHeight="1">
      <c r="A960" s="58"/>
      <c r="B960" s="59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AA960" s="36"/>
      <c r="AB960" s="36"/>
    </row>
    <row r="961" ht="12.75" customHeight="1">
      <c r="A961" s="58"/>
      <c r="B961" s="59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AA961" s="36"/>
      <c r="AB961" s="36"/>
    </row>
    <row r="962" ht="12.75" customHeight="1">
      <c r="A962" s="58"/>
      <c r="B962" s="59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AA962" s="36"/>
      <c r="AB962" s="36"/>
    </row>
    <row r="963" ht="12.75" customHeight="1">
      <c r="A963" s="58"/>
      <c r="B963" s="59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AA963" s="36"/>
      <c r="AB963" s="36"/>
    </row>
    <row r="964" ht="12.75" customHeight="1">
      <c r="A964" s="58"/>
      <c r="B964" s="59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AA964" s="36"/>
      <c r="AB964" s="36"/>
    </row>
    <row r="965" ht="12.75" customHeight="1">
      <c r="A965" s="58"/>
      <c r="B965" s="59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AA965" s="36"/>
      <c r="AB965" s="36"/>
    </row>
    <row r="966" ht="12.75" customHeight="1">
      <c r="A966" s="58"/>
      <c r="B966" s="59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AA966" s="36"/>
      <c r="AB966" s="36"/>
    </row>
    <row r="967" ht="12.75" customHeight="1">
      <c r="A967" s="58"/>
      <c r="B967" s="59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AA967" s="36"/>
      <c r="AB967" s="36"/>
    </row>
    <row r="968" ht="12.75" customHeight="1">
      <c r="A968" s="58"/>
      <c r="B968" s="59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AA968" s="36"/>
      <c r="AB968" s="36"/>
    </row>
    <row r="969" ht="12.75" customHeight="1">
      <c r="A969" s="58"/>
      <c r="B969" s="59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AA969" s="36"/>
      <c r="AB969" s="36"/>
    </row>
    <row r="970" ht="12.75" customHeight="1">
      <c r="A970" s="58"/>
      <c r="B970" s="59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AA970" s="36"/>
      <c r="AB970" s="36"/>
    </row>
    <row r="971" ht="12.75" customHeight="1">
      <c r="A971" s="58"/>
      <c r="B971" s="59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AA971" s="36"/>
      <c r="AB971" s="36"/>
    </row>
    <row r="972" ht="12.75" customHeight="1">
      <c r="A972" s="58"/>
      <c r="B972" s="59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AA972" s="36"/>
      <c r="AB972" s="36"/>
    </row>
    <row r="973" ht="12.75" customHeight="1">
      <c r="A973" s="58"/>
      <c r="B973" s="59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AA973" s="36"/>
      <c r="AB973" s="36"/>
    </row>
    <row r="974" ht="12.75" customHeight="1">
      <c r="A974" s="58"/>
      <c r="B974" s="59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AA974" s="36"/>
      <c r="AB974" s="36"/>
    </row>
    <row r="975" ht="12.75" customHeight="1">
      <c r="A975" s="58"/>
      <c r="B975" s="59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AA975" s="36"/>
      <c r="AB975" s="36"/>
    </row>
    <row r="976" ht="12.75" customHeight="1">
      <c r="A976" s="58"/>
      <c r="B976" s="59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AA976" s="36"/>
      <c r="AB976" s="36"/>
    </row>
    <row r="977" ht="12.75" customHeight="1">
      <c r="A977" s="58"/>
      <c r="B977" s="59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AA977" s="36"/>
      <c r="AB977" s="36"/>
    </row>
    <row r="978" ht="12.75" customHeight="1">
      <c r="A978" s="58"/>
      <c r="B978" s="59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AA978" s="36"/>
      <c r="AB978" s="36"/>
    </row>
    <row r="979" ht="12.75" customHeight="1">
      <c r="A979" s="58"/>
      <c r="B979" s="59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AA979" s="36"/>
      <c r="AB979" s="36"/>
    </row>
    <row r="980" ht="12.75" customHeight="1">
      <c r="A980" s="58"/>
      <c r="B980" s="59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AA980" s="36"/>
      <c r="AB980" s="36"/>
    </row>
    <row r="981" ht="12.75" customHeight="1">
      <c r="A981" s="58"/>
      <c r="B981" s="59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AA981" s="36"/>
      <c r="AB981" s="36"/>
    </row>
    <row r="982" ht="12.75" customHeight="1">
      <c r="A982" s="58"/>
      <c r="B982" s="59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AA982" s="36"/>
      <c r="AB982" s="36"/>
    </row>
    <row r="983" ht="12.75" customHeight="1">
      <c r="A983" s="58"/>
      <c r="B983" s="59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AA983" s="36"/>
      <c r="AB983" s="36"/>
    </row>
    <row r="984" ht="12.75" customHeight="1">
      <c r="A984" s="58"/>
      <c r="B984" s="59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AA984" s="36"/>
      <c r="AB984" s="36"/>
    </row>
    <row r="985" ht="12.75" customHeight="1">
      <c r="A985" s="58"/>
      <c r="B985" s="59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AA985" s="36"/>
      <c r="AB985" s="36"/>
    </row>
    <row r="986" ht="12.75" customHeight="1">
      <c r="A986" s="58"/>
      <c r="B986" s="59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AA986" s="36"/>
      <c r="AB986" s="36"/>
    </row>
    <row r="987" ht="12.75" customHeight="1">
      <c r="A987" s="58"/>
      <c r="B987" s="59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AA987" s="36"/>
      <c r="AB987" s="36"/>
    </row>
    <row r="988" ht="12.75" customHeight="1">
      <c r="A988" s="58"/>
      <c r="B988" s="59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AA988" s="36"/>
      <c r="AB988" s="36"/>
    </row>
    <row r="989" ht="12.75" customHeight="1">
      <c r="A989" s="58"/>
      <c r="B989" s="59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AA989" s="36"/>
      <c r="AB989" s="36"/>
    </row>
    <row r="990" ht="12.75" customHeight="1">
      <c r="A990" s="58"/>
      <c r="B990" s="59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AA990" s="36"/>
      <c r="AB990" s="36"/>
    </row>
    <row r="991" ht="12.75" customHeight="1">
      <c r="A991" s="58"/>
      <c r="B991" s="59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AA991" s="36"/>
      <c r="AB991" s="36"/>
    </row>
    <row r="992" ht="12.75" customHeight="1">
      <c r="A992" s="58"/>
      <c r="B992" s="59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AA992" s="36"/>
      <c r="AB992" s="36"/>
    </row>
    <row r="993" ht="12.75" customHeight="1">
      <c r="A993" s="58"/>
      <c r="B993" s="59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AA993" s="36"/>
      <c r="AB993" s="36"/>
    </row>
    <row r="994" ht="12.75" customHeight="1">
      <c r="A994" s="58"/>
      <c r="B994" s="59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AA994" s="36"/>
      <c r="AB994" s="36"/>
    </row>
    <row r="995" ht="12.75" customHeight="1">
      <c r="A995" s="58"/>
      <c r="B995" s="59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AA995" s="36"/>
      <c r="AB995" s="36"/>
    </row>
    <row r="996" ht="12.75" customHeight="1">
      <c r="A996" s="58"/>
      <c r="B996" s="59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AA996" s="36"/>
      <c r="AB996" s="36"/>
    </row>
    <row r="997" ht="12.75" customHeight="1">
      <c r="A997" s="58"/>
      <c r="B997" s="59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AA997" s="36"/>
      <c r="AB997" s="36"/>
    </row>
    <row r="998" ht="12.75" customHeight="1">
      <c r="A998" s="58"/>
      <c r="B998" s="59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AA998" s="36"/>
      <c r="AB998" s="36"/>
    </row>
    <row r="999" ht="12.75" customHeight="1">
      <c r="A999" s="58"/>
      <c r="B999" s="59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AA999" s="36"/>
      <c r="AB999" s="36"/>
    </row>
    <row r="1000" ht="12.75" customHeight="1">
      <c r="A1000" s="58"/>
      <c r="B1000" s="59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AA1000" s="36"/>
      <c r="AB1000" s="36"/>
    </row>
    <row r="1001" ht="12.75" customHeight="1">
      <c r="A1001" s="58"/>
      <c r="B1001" s="59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AA1001" s="36"/>
      <c r="AB1001" s="36"/>
    </row>
    <row r="1002" ht="12.75" customHeight="1">
      <c r="A1002" s="58"/>
      <c r="B1002" s="59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AA1002" s="36"/>
      <c r="AB1002" s="36"/>
    </row>
    <row r="1003" ht="12.75" customHeight="1">
      <c r="A1003" s="58"/>
      <c r="B1003" s="59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AA1003" s="36"/>
      <c r="AB1003" s="36"/>
    </row>
    <row r="1004" ht="12.75" customHeight="1">
      <c r="A1004" s="58"/>
      <c r="B1004" s="59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AA1004" s="36"/>
      <c r="AB1004" s="36"/>
    </row>
    <row r="1005" ht="12.75" customHeight="1">
      <c r="A1005" s="58"/>
      <c r="B1005" s="59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AA1005" s="36"/>
      <c r="AB1005" s="36"/>
    </row>
    <row r="1006" ht="12.75" customHeight="1">
      <c r="A1006" s="58"/>
      <c r="B1006" s="59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AA1006" s="36"/>
      <c r="AB1006" s="36"/>
    </row>
    <row r="1007" ht="12.75" customHeight="1">
      <c r="A1007" s="58"/>
      <c r="B1007" s="59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AA1007" s="36"/>
      <c r="AB1007" s="36"/>
    </row>
  </sheetData>
  <mergeCells count="13">
    <mergeCell ref="A45:B45"/>
    <mergeCell ref="A46:B46"/>
    <mergeCell ref="C47:N47"/>
    <mergeCell ref="C50:N50"/>
    <mergeCell ref="C56:N56"/>
    <mergeCell ref="C62:N62"/>
    <mergeCell ref="A15:B15"/>
    <mergeCell ref="A16:B16"/>
    <mergeCell ref="A24:B24"/>
    <mergeCell ref="C25:N25"/>
    <mergeCell ref="C37:N37"/>
    <mergeCell ref="A39:B39"/>
    <mergeCell ref="C43:N43"/>
  </mergeCells>
  <conditionalFormatting sqref="C46:Z46">
    <cfRule type="cellIs" dxfId="0" priority="1" operator="greaterThan">
      <formula>0</formula>
    </cfRule>
  </conditionalFormatting>
  <conditionalFormatting sqref="C46:Z46">
    <cfRule type="cellIs" dxfId="1" priority="2" operator="lessThanOrEqual">
      <formula>0</formula>
    </cfRule>
  </conditionalFormatting>
  <conditionalFormatting sqref="C76:Z76">
    <cfRule type="cellIs" dxfId="2" priority="3" operator="less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3.14"/>
    <col customWidth="1" min="2" max="2" width="19.0"/>
    <col customWidth="1" min="3" max="15" width="12.71"/>
  </cols>
  <sheetData>
    <row r="1" ht="12.75" customHeight="1">
      <c r="A1" s="1"/>
      <c r="B1" s="2"/>
      <c r="C1" s="3">
        <v>1.0</v>
      </c>
      <c r="D1" s="3"/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  <c r="T1" s="3">
        <v>17.0</v>
      </c>
      <c r="U1" s="3">
        <v>18.0</v>
      </c>
      <c r="V1" s="3">
        <v>19.0</v>
      </c>
      <c r="W1" s="3">
        <v>20.0</v>
      </c>
      <c r="X1" s="3">
        <v>21.0</v>
      </c>
      <c r="Y1" s="3">
        <v>22.0</v>
      </c>
      <c r="Z1" s="3">
        <v>23.0</v>
      </c>
      <c r="AA1" s="3">
        <v>24.0</v>
      </c>
      <c r="AB1" s="4" t="s">
        <v>0</v>
      </c>
      <c r="AC1" s="4" t="s">
        <v>1</v>
      </c>
    </row>
    <row r="2" ht="44.25" customHeight="1">
      <c r="A2" s="5" t="s">
        <v>2</v>
      </c>
      <c r="B2" s="6">
        <f>SUM(C2:O2)</f>
        <v>1587594.422</v>
      </c>
      <c r="C2" s="7">
        <f>SUM(C3:C4)</f>
        <v>96600</v>
      </c>
      <c r="D2" s="61">
        <v>50000.0</v>
      </c>
      <c r="E2" s="7">
        <f t="shared" ref="E2:AA2" si="1">SUM(E3:E4)</f>
        <v>101430</v>
      </c>
      <c r="F2" s="7">
        <f t="shared" si="1"/>
        <v>106501.5</v>
      </c>
      <c r="G2" s="7">
        <f t="shared" si="1"/>
        <v>111826.575</v>
      </c>
      <c r="H2" s="7">
        <f t="shared" si="1"/>
        <v>117417.9038</v>
      </c>
      <c r="I2" s="7">
        <f t="shared" si="1"/>
        <v>123288.7989</v>
      </c>
      <c r="J2" s="7">
        <f t="shared" si="1"/>
        <v>129453.2389</v>
      </c>
      <c r="K2" s="7">
        <f t="shared" si="1"/>
        <v>135925.9008</v>
      </c>
      <c r="L2" s="7">
        <f t="shared" si="1"/>
        <v>142722.1959</v>
      </c>
      <c r="M2" s="7">
        <f t="shared" si="1"/>
        <v>149858.3057</v>
      </c>
      <c r="N2" s="7">
        <f t="shared" si="1"/>
        <v>157351.2209</v>
      </c>
      <c r="O2" s="7">
        <f t="shared" si="1"/>
        <v>165218.782</v>
      </c>
      <c r="P2" s="7">
        <f t="shared" si="1"/>
        <v>173479.7211</v>
      </c>
      <c r="Q2" s="7">
        <f t="shared" si="1"/>
        <v>182153.7071</v>
      </c>
      <c r="R2" s="7">
        <f t="shared" si="1"/>
        <v>191261.3925</v>
      </c>
      <c r="S2" s="7">
        <f t="shared" si="1"/>
        <v>200824.4621</v>
      </c>
      <c r="T2" s="7">
        <f t="shared" si="1"/>
        <v>210865.6852</v>
      </c>
      <c r="U2" s="7">
        <f t="shared" si="1"/>
        <v>221408.9695</v>
      </c>
      <c r="V2" s="7">
        <f t="shared" si="1"/>
        <v>232479.418</v>
      </c>
      <c r="W2" s="7">
        <f t="shared" si="1"/>
        <v>244103.3889</v>
      </c>
      <c r="X2" s="7">
        <f t="shared" si="1"/>
        <v>256308.5583</v>
      </c>
      <c r="Y2" s="7">
        <f t="shared" si="1"/>
        <v>269123.9862</v>
      </c>
      <c r="Z2" s="7">
        <f t="shared" si="1"/>
        <v>282580.1855</v>
      </c>
      <c r="AA2" s="7">
        <f t="shared" si="1"/>
        <v>296709.1948</v>
      </c>
      <c r="AB2" s="8">
        <f t="shared" ref="AB2:AB5" si="3">Sum(C2:O2)</f>
        <v>1587594.422</v>
      </c>
      <c r="AC2" s="8">
        <f>Sum(P2:AA2)</f>
        <v>2761298.669</v>
      </c>
    </row>
    <row r="3" ht="18.0" customHeight="1">
      <c r="A3" s="9" t="s">
        <v>3</v>
      </c>
      <c r="B3" s="62">
        <v>0.9</v>
      </c>
      <c r="C3" s="11">
        <f>C10*$B$3*$B$11</f>
        <v>94500</v>
      </c>
      <c r="D3" s="11"/>
      <c r="E3" s="11">
        <f t="shared" ref="E3:AA3" si="2">E10*$B$3*$B$11</f>
        <v>99225</v>
      </c>
      <c r="F3" s="11">
        <f t="shared" si="2"/>
        <v>104186.25</v>
      </c>
      <c r="G3" s="11">
        <f t="shared" si="2"/>
        <v>109395.5625</v>
      </c>
      <c r="H3" s="11">
        <f t="shared" si="2"/>
        <v>114865.3406</v>
      </c>
      <c r="I3" s="11">
        <f t="shared" si="2"/>
        <v>120608.6077</v>
      </c>
      <c r="J3" s="11">
        <f t="shared" si="2"/>
        <v>126639.038</v>
      </c>
      <c r="K3" s="11">
        <f t="shared" si="2"/>
        <v>132970.9899</v>
      </c>
      <c r="L3" s="11">
        <f t="shared" si="2"/>
        <v>139619.5394</v>
      </c>
      <c r="M3" s="11">
        <f t="shared" si="2"/>
        <v>146600.5164</v>
      </c>
      <c r="N3" s="11">
        <f t="shared" si="2"/>
        <v>153930.5422</v>
      </c>
      <c r="O3" s="11">
        <f t="shared" si="2"/>
        <v>161627.0693</v>
      </c>
      <c r="P3" s="11">
        <f t="shared" si="2"/>
        <v>169708.4228</v>
      </c>
      <c r="Q3" s="11">
        <f t="shared" si="2"/>
        <v>178193.8439</v>
      </c>
      <c r="R3" s="11">
        <f t="shared" si="2"/>
        <v>187103.5361</v>
      </c>
      <c r="S3" s="11">
        <f t="shared" si="2"/>
        <v>196458.713</v>
      </c>
      <c r="T3" s="11">
        <f t="shared" si="2"/>
        <v>206281.6486</v>
      </c>
      <c r="U3" s="11">
        <f t="shared" si="2"/>
        <v>216595.731</v>
      </c>
      <c r="V3" s="11">
        <f t="shared" si="2"/>
        <v>227425.5176</v>
      </c>
      <c r="W3" s="11">
        <f t="shared" si="2"/>
        <v>238796.7935</v>
      </c>
      <c r="X3" s="11">
        <f t="shared" si="2"/>
        <v>250736.6331</v>
      </c>
      <c r="Y3" s="11">
        <f t="shared" si="2"/>
        <v>263273.4648</v>
      </c>
      <c r="Z3" s="11">
        <f t="shared" si="2"/>
        <v>276437.138</v>
      </c>
      <c r="AA3" s="11">
        <f t="shared" si="2"/>
        <v>290258.9949</v>
      </c>
      <c r="AB3" s="12">
        <f t="shared" si="3"/>
        <v>1504168.456</v>
      </c>
      <c r="AC3" s="12">
        <f t="shared" ref="AC3:AC5" si="5">SUM(P3:AA3)</f>
        <v>2701270.437</v>
      </c>
    </row>
    <row r="4" ht="18.0" customHeight="1">
      <c r="A4" s="9" t="s">
        <v>4</v>
      </c>
      <c r="B4" s="62">
        <v>0.1</v>
      </c>
      <c r="C4" s="11">
        <f>C10*$B$4*$B$12</f>
        <v>2100</v>
      </c>
      <c r="D4" s="11"/>
      <c r="E4" s="11">
        <f t="shared" ref="E4:AA4" si="4">E10*$B$4*$B$12</f>
        <v>2205</v>
      </c>
      <c r="F4" s="11">
        <f t="shared" si="4"/>
        <v>2315.25</v>
      </c>
      <c r="G4" s="11">
        <f t="shared" si="4"/>
        <v>2431.0125</v>
      </c>
      <c r="H4" s="11">
        <f t="shared" si="4"/>
        <v>2552.563125</v>
      </c>
      <c r="I4" s="11">
        <f t="shared" si="4"/>
        <v>2680.191281</v>
      </c>
      <c r="J4" s="11">
        <f t="shared" si="4"/>
        <v>2814.200845</v>
      </c>
      <c r="K4" s="11">
        <f t="shared" si="4"/>
        <v>2954.910888</v>
      </c>
      <c r="L4" s="11">
        <f t="shared" si="4"/>
        <v>3102.656432</v>
      </c>
      <c r="M4" s="11">
        <f t="shared" si="4"/>
        <v>3257.789254</v>
      </c>
      <c r="N4" s="11">
        <f t="shared" si="4"/>
        <v>3420.678716</v>
      </c>
      <c r="O4" s="11">
        <f t="shared" si="4"/>
        <v>3591.712652</v>
      </c>
      <c r="P4" s="11">
        <f t="shared" si="4"/>
        <v>3771.298285</v>
      </c>
      <c r="Q4" s="11">
        <f t="shared" si="4"/>
        <v>3959.863199</v>
      </c>
      <c r="R4" s="11">
        <f t="shared" si="4"/>
        <v>4157.856359</v>
      </c>
      <c r="S4" s="11">
        <f t="shared" si="4"/>
        <v>4365.749177</v>
      </c>
      <c r="T4" s="11">
        <f t="shared" si="4"/>
        <v>4584.036636</v>
      </c>
      <c r="U4" s="11">
        <f t="shared" si="4"/>
        <v>4813.238467</v>
      </c>
      <c r="V4" s="11">
        <f t="shared" si="4"/>
        <v>5053.900391</v>
      </c>
      <c r="W4" s="11">
        <f t="shared" si="4"/>
        <v>5306.59541</v>
      </c>
      <c r="X4" s="11">
        <f t="shared" si="4"/>
        <v>5571.925181</v>
      </c>
      <c r="Y4" s="11">
        <f t="shared" si="4"/>
        <v>5850.52144</v>
      </c>
      <c r="Z4" s="11">
        <f t="shared" si="4"/>
        <v>6143.047512</v>
      </c>
      <c r="AA4" s="11">
        <f t="shared" si="4"/>
        <v>6450.199887</v>
      </c>
      <c r="AB4" s="12">
        <f t="shared" si="3"/>
        <v>33425.96569</v>
      </c>
      <c r="AC4" s="12">
        <f t="shared" si="5"/>
        <v>60028.23194</v>
      </c>
    </row>
    <row r="5" ht="12.75" customHeight="1">
      <c r="A5" s="13" t="s">
        <v>5</v>
      </c>
      <c r="B5" s="29">
        <v>1000.0</v>
      </c>
      <c r="C5" s="15">
        <f>B5+B5*$B$6</f>
        <v>1050</v>
      </c>
      <c r="D5" s="15"/>
      <c r="E5" s="15">
        <f>C5+C5*$B$6</f>
        <v>1102.5</v>
      </c>
      <c r="F5" s="15">
        <f t="shared" ref="F5:AA5" si="6">E5+E5*$B$6</f>
        <v>1157.625</v>
      </c>
      <c r="G5" s="15">
        <f t="shared" si="6"/>
        <v>1215.50625</v>
      </c>
      <c r="H5" s="15">
        <f t="shared" si="6"/>
        <v>1276.281563</v>
      </c>
      <c r="I5" s="15">
        <f t="shared" si="6"/>
        <v>1340.095641</v>
      </c>
      <c r="J5" s="15">
        <f t="shared" si="6"/>
        <v>1407.100423</v>
      </c>
      <c r="K5" s="15">
        <f t="shared" si="6"/>
        <v>1477.455444</v>
      </c>
      <c r="L5" s="15">
        <f t="shared" si="6"/>
        <v>1551.328216</v>
      </c>
      <c r="M5" s="15">
        <f t="shared" si="6"/>
        <v>1628.894627</v>
      </c>
      <c r="N5" s="15">
        <f t="shared" si="6"/>
        <v>1710.339358</v>
      </c>
      <c r="O5" s="15">
        <f t="shared" si="6"/>
        <v>1795.856326</v>
      </c>
      <c r="P5" s="15">
        <f t="shared" si="6"/>
        <v>1885.649142</v>
      </c>
      <c r="Q5" s="15">
        <f t="shared" si="6"/>
        <v>1979.931599</v>
      </c>
      <c r="R5" s="15">
        <f t="shared" si="6"/>
        <v>2078.928179</v>
      </c>
      <c r="S5" s="15">
        <f t="shared" si="6"/>
        <v>2182.874588</v>
      </c>
      <c r="T5" s="15">
        <f t="shared" si="6"/>
        <v>2292.018318</v>
      </c>
      <c r="U5" s="15">
        <f t="shared" si="6"/>
        <v>2406.619234</v>
      </c>
      <c r="V5" s="15">
        <f t="shared" si="6"/>
        <v>2526.950195</v>
      </c>
      <c r="W5" s="15">
        <f t="shared" si="6"/>
        <v>2653.297705</v>
      </c>
      <c r="X5" s="15">
        <f t="shared" si="6"/>
        <v>2785.96259</v>
      </c>
      <c r="Y5" s="15">
        <f t="shared" si="6"/>
        <v>2925.26072</v>
      </c>
      <c r="Z5" s="15">
        <f t="shared" si="6"/>
        <v>3071.523756</v>
      </c>
      <c r="AA5" s="15">
        <f t="shared" si="6"/>
        <v>3225.099944</v>
      </c>
      <c r="AB5" s="16">
        <f t="shared" si="3"/>
        <v>16712.98285</v>
      </c>
      <c r="AC5" s="16">
        <f t="shared" si="5"/>
        <v>30014.11597</v>
      </c>
    </row>
    <row r="6" ht="12.75" customHeight="1">
      <c r="A6" s="17" t="s">
        <v>6</v>
      </c>
      <c r="B6" s="18">
        <v>0.05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/>
      <c r="AC6" s="16"/>
    </row>
    <row r="7" ht="12.75" customHeight="1">
      <c r="A7" s="19" t="s">
        <v>7</v>
      </c>
      <c r="B7" s="22">
        <v>0.04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/>
      <c r="AC7" s="16"/>
    </row>
    <row r="8" ht="12.75" customHeight="1">
      <c r="A8" s="20" t="s">
        <v>8</v>
      </c>
      <c r="B8" s="21"/>
      <c r="C8" s="15">
        <f>C5*$B$7</f>
        <v>42</v>
      </c>
      <c r="D8" s="15"/>
      <c r="E8" s="15">
        <f t="shared" ref="E8:AA8" si="7">E5*$B$7</f>
        <v>44.1</v>
      </c>
      <c r="F8" s="15">
        <f t="shared" si="7"/>
        <v>46.305</v>
      </c>
      <c r="G8" s="15">
        <f t="shared" si="7"/>
        <v>48.62025</v>
      </c>
      <c r="H8" s="15">
        <f t="shared" si="7"/>
        <v>51.0512625</v>
      </c>
      <c r="I8" s="15">
        <f t="shared" si="7"/>
        <v>53.60382563</v>
      </c>
      <c r="J8" s="15">
        <f t="shared" si="7"/>
        <v>56.28401691</v>
      </c>
      <c r="K8" s="15">
        <f t="shared" si="7"/>
        <v>59.09821775</v>
      </c>
      <c r="L8" s="15">
        <f t="shared" si="7"/>
        <v>62.05312864</v>
      </c>
      <c r="M8" s="15">
        <f t="shared" si="7"/>
        <v>65.15578507</v>
      </c>
      <c r="N8" s="15">
        <f t="shared" si="7"/>
        <v>68.41357432</v>
      </c>
      <c r="O8" s="15">
        <f t="shared" si="7"/>
        <v>71.83425304</v>
      </c>
      <c r="P8" s="15">
        <f t="shared" si="7"/>
        <v>75.42596569</v>
      </c>
      <c r="Q8" s="15">
        <f t="shared" si="7"/>
        <v>79.19726398</v>
      </c>
      <c r="R8" s="15">
        <f t="shared" si="7"/>
        <v>83.15712718</v>
      </c>
      <c r="S8" s="15">
        <f t="shared" si="7"/>
        <v>87.31498354</v>
      </c>
      <c r="T8" s="15">
        <f t="shared" si="7"/>
        <v>91.68073271</v>
      </c>
      <c r="U8" s="15">
        <f t="shared" si="7"/>
        <v>96.26476935</v>
      </c>
      <c r="V8" s="15">
        <f t="shared" si="7"/>
        <v>101.0780078</v>
      </c>
      <c r="W8" s="15">
        <f t="shared" si="7"/>
        <v>106.1319082</v>
      </c>
      <c r="X8" s="15">
        <f t="shared" si="7"/>
        <v>111.4385036</v>
      </c>
      <c r="Y8" s="15">
        <f t="shared" si="7"/>
        <v>117.0104288</v>
      </c>
      <c r="Z8" s="15">
        <f t="shared" si="7"/>
        <v>122.8609502</v>
      </c>
      <c r="AA8" s="15">
        <f t="shared" si="7"/>
        <v>129.0039977</v>
      </c>
      <c r="AB8" s="16">
        <f>Sum(C8:O8)</f>
        <v>668.5193139</v>
      </c>
      <c r="AC8" s="16">
        <f>SUM(P8:AA8)</f>
        <v>1200.564639</v>
      </c>
    </row>
    <row r="9" ht="12.75" customHeight="1">
      <c r="A9" s="17" t="s">
        <v>9</v>
      </c>
      <c r="B9" s="22">
        <v>0.5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6"/>
      <c r="AC9" s="16"/>
    </row>
    <row r="10" ht="12.75" customHeight="1">
      <c r="A10" s="20" t="s">
        <v>10</v>
      </c>
      <c r="B10" s="21"/>
      <c r="C10" s="15">
        <f>C8*$B$9</f>
        <v>21</v>
      </c>
      <c r="D10" s="15"/>
      <c r="E10" s="15">
        <f t="shared" ref="E10:AA10" si="8">E8*$B$9</f>
        <v>22.05</v>
      </c>
      <c r="F10" s="15">
        <f t="shared" si="8"/>
        <v>23.1525</v>
      </c>
      <c r="G10" s="15">
        <f t="shared" si="8"/>
        <v>24.310125</v>
      </c>
      <c r="H10" s="15">
        <f t="shared" si="8"/>
        <v>25.52563125</v>
      </c>
      <c r="I10" s="15">
        <f t="shared" si="8"/>
        <v>26.80191281</v>
      </c>
      <c r="J10" s="15">
        <f t="shared" si="8"/>
        <v>28.14200845</v>
      </c>
      <c r="K10" s="15">
        <f t="shared" si="8"/>
        <v>29.54910888</v>
      </c>
      <c r="L10" s="15">
        <f t="shared" si="8"/>
        <v>31.02656432</v>
      </c>
      <c r="M10" s="15">
        <f t="shared" si="8"/>
        <v>32.57789254</v>
      </c>
      <c r="N10" s="15">
        <f t="shared" si="8"/>
        <v>34.20678716</v>
      </c>
      <c r="O10" s="15">
        <f t="shared" si="8"/>
        <v>35.91712652</v>
      </c>
      <c r="P10" s="15">
        <f t="shared" si="8"/>
        <v>37.71298285</v>
      </c>
      <c r="Q10" s="15">
        <f t="shared" si="8"/>
        <v>39.59863199</v>
      </c>
      <c r="R10" s="15">
        <f t="shared" si="8"/>
        <v>41.57856359</v>
      </c>
      <c r="S10" s="15">
        <f t="shared" si="8"/>
        <v>43.65749177</v>
      </c>
      <c r="T10" s="15">
        <f t="shared" si="8"/>
        <v>45.84036636</v>
      </c>
      <c r="U10" s="15">
        <f t="shared" si="8"/>
        <v>48.13238467</v>
      </c>
      <c r="V10" s="15">
        <f t="shared" si="8"/>
        <v>50.53900391</v>
      </c>
      <c r="W10" s="15">
        <f t="shared" si="8"/>
        <v>53.0659541</v>
      </c>
      <c r="X10" s="15">
        <f t="shared" si="8"/>
        <v>55.71925181</v>
      </c>
      <c r="Y10" s="15">
        <f t="shared" si="8"/>
        <v>58.5052144</v>
      </c>
      <c r="Z10" s="15">
        <f t="shared" si="8"/>
        <v>61.43047512</v>
      </c>
      <c r="AA10" s="15">
        <f t="shared" si="8"/>
        <v>64.50199887</v>
      </c>
      <c r="AB10" s="16">
        <f>Sum(C10:O10)</f>
        <v>334.2596569</v>
      </c>
      <c r="AC10" s="16">
        <f>SUM(P10:AA10)</f>
        <v>600.2823194</v>
      </c>
    </row>
    <row r="11" ht="12.75" customHeight="1">
      <c r="A11" s="17" t="s">
        <v>11</v>
      </c>
      <c r="B11" s="23">
        <v>5000.0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6"/>
      <c r="AC11" s="16"/>
    </row>
    <row r="12" ht="12.75" customHeight="1">
      <c r="A12" s="17" t="s">
        <v>12</v>
      </c>
      <c r="B12" s="63">
        <v>1000.0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6"/>
      <c r="AC12" s="16"/>
    </row>
    <row r="13" ht="12.75" customHeight="1">
      <c r="A13" s="17" t="s">
        <v>13</v>
      </c>
      <c r="B13" s="40">
        <v>20.0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6"/>
      <c r="AC13" s="16"/>
    </row>
    <row r="14" ht="12.75" customHeight="1">
      <c r="A14" s="25" t="s">
        <v>14</v>
      </c>
      <c r="B14" s="21"/>
      <c r="C14" s="15">
        <f>-C5*$B$13</f>
        <v>-21000</v>
      </c>
      <c r="D14" s="15"/>
      <c r="E14" s="15">
        <f t="shared" ref="E14:AA14" si="9">-E5*$B$13</f>
        <v>-22050</v>
      </c>
      <c r="F14" s="15">
        <f t="shared" si="9"/>
        <v>-23152.5</v>
      </c>
      <c r="G14" s="15">
        <f t="shared" si="9"/>
        <v>-24310.125</v>
      </c>
      <c r="H14" s="15">
        <f t="shared" si="9"/>
        <v>-25525.63125</v>
      </c>
      <c r="I14" s="15">
        <f t="shared" si="9"/>
        <v>-26801.91281</v>
      </c>
      <c r="J14" s="15">
        <f t="shared" si="9"/>
        <v>-28142.00845</v>
      </c>
      <c r="K14" s="15">
        <f t="shared" si="9"/>
        <v>-29549.10888</v>
      </c>
      <c r="L14" s="15">
        <f t="shared" si="9"/>
        <v>-31026.56432</v>
      </c>
      <c r="M14" s="15">
        <f t="shared" si="9"/>
        <v>-32577.89254</v>
      </c>
      <c r="N14" s="15">
        <f t="shared" si="9"/>
        <v>-34206.78716</v>
      </c>
      <c r="O14" s="15">
        <f t="shared" si="9"/>
        <v>-35917.12652</v>
      </c>
      <c r="P14" s="15">
        <f t="shared" si="9"/>
        <v>-37712.98285</v>
      </c>
      <c r="Q14" s="15">
        <f t="shared" si="9"/>
        <v>-39598.63199</v>
      </c>
      <c r="R14" s="15">
        <f t="shared" si="9"/>
        <v>-41578.56359</v>
      </c>
      <c r="S14" s="15">
        <f t="shared" si="9"/>
        <v>-43657.49177</v>
      </c>
      <c r="T14" s="15">
        <f t="shared" si="9"/>
        <v>-45840.36636</v>
      </c>
      <c r="U14" s="15">
        <f t="shared" si="9"/>
        <v>-48132.38467</v>
      </c>
      <c r="V14" s="15">
        <f t="shared" si="9"/>
        <v>-50539.00391</v>
      </c>
      <c r="W14" s="15">
        <f t="shared" si="9"/>
        <v>-53065.9541</v>
      </c>
      <c r="X14" s="15">
        <f t="shared" si="9"/>
        <v>-55719.25181</v>
      </c>
      <c r="Y14" s="15">
        <f t="shared" si="9"/>
        <v>-58505.2144</v>
      </c>
      <c r="Z14" s="15">
        <f t="shared" si="9"/>
        <v>-61430.47512</v>
      </c>
      <c r="AA14" s="15">
        <f t="shared" si="9"/>
        <v>-64501.99887</v>
      </c>
      <c r="AB14" s="16">
        <f>Sum(C14:O14)</f>
        <v>-334259.6569</v>
      </c>
      <c r="AC14" s="16">
        <f>SUM(B14:AA14)</f>
        <v>-934541.9764</v>
      </c>
    </row>
    <row r="15" ht="12.75" customHeight="1">
      <c r="A15" s="1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/>
      <c r="AC15" s="16"/>
    </row>
    <row r="16" ht="12.75" customHeight="1">
      <c r="A16" s="1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  <c r="AC16" s="16"/>
    </row>
    <row r="17" ht="28.5" customHeight="1">
      <c r="A17" s="26" t="s">
        <v>15</v>
      </c>
      <c r="B17" s="27"/>
      <c r="C17" s="28">
        <f>SUM(C18:C21)</f>
        <v>-61844</v>
      </c>
      <c r="D17" s="28"/>
      <c r="E17" s="28">
        <f t="shared" ref="E17:AA17" si="10">SUM(E18:E21)</f>
        <v>-63486.2</v>
      </c>
      <c r="F17" s="28">
        <f t="shared" si="10"/>
        <v>-65210.51</v>
      </c>
      <c r="G17" s="28">
        <f t="shared" si="10"/>
        <v>-67021.0355</v>
      </c>
      <c r="H17" s="28">
        <f t="shared" si="10"/>
        <v>-68922.08728</v>
      </c>
      <c r="I17" s="28">
        <f t="shared" si="10"/>
        <v>-70918.19164</v>
      </c>
      <c r="J17" s="28">
        <f t="shared" si="10"/>
        <v>-73014.10122</v>
      </c>
      <c r="K17" s="28">
        <f t="shared" si="10"/>
        <v>-75214.80628</v>
      </c>
      <c r="L17" s="28">
        <f t="shared" si="10"/>
        <v>-77525.5466</v>
      </c>
      <c r="M17" s="28">
        <f t="shared" si="10"/>
        <v>-79951.82393</v>
      </c>
      <c r="N17" s="28">
        <f t="shared" si="10"/>
        <v>-82499.41512</v>
      </c>
      <c r="O17" s="28">
        <f t="shared" si="10"/>
        <v>-85174.38588</v>
      </c>
      <c r="P17" s="28">
        <f t="shared" si="10"/>
        <v>-87983.10517</v>
      </c>
      <c r="Q17" s="28">
        <f t="shared" si="10"/>
        <v>-90932.26043</v>
      </c>
      <c r="R17" s="28">
        <f t="shared" si="10"/>
        <v>-94028.87345</v>
      </c>
      <c r="S17" s="28">
        <f t="shared" si="10"/>
        <v>-97280.31712</v>
      </c>
      <c r="T17" s="28">
        <f t="shared" si="10"/>
        <v>-100694.333</v>
      </c>
      <c r="U17" s="28">
        <f t="shared" si="10"/>
        <v>-104279.0496</v>
      </c>
      <c r="V17" s="28">
        <f t="shared" si="10"/>
        <v>-108043.0021</v>
      </c>
      <c r="W17" s="28">
        <f t="shared" si="10"/>
        <v>-111995.1522</v>
      </c>
      <c r="X17" s="28">
        <f t="shared" si="10"/>
        <v>-116144.9098</v>
      </c>
      <c r="Y17" s="28">
        <f t="shared" si="10"/>
        <v>-120502.1553</v>
      </c>
      <c r="Z17" s="28">
        <f t="shared" si="10"/>
        <v>-125077.2631</v>
      </c>
      <c r="AA17" s="28">
        <f t="shared" si="10"/>
        <v>-129881.1262</v>
      </c>
      <c r="AB17" s="8">
        <f t="shared" ref="AB17:AB21" si="12">Sum(C17:O17)</f>
        <v>-870782.1034</v>
      </c>
      <c r="AC17" s="8">
        <f>Sum(P17:AA17)</f>
        <v>-1286841.548</v>
      </c>
    </row>
    <row r="18" ht="12.75" customHeight="1">
      <c r="A18" s="17" t="s">
        <v>16</v>
      </c>
      <c r="B18" s="22">
        <v>0.09</v>
      </c>
      <c r="C18" s="15">
        <f>-C2*$B$18</f>
        <v>-8694</v>
      </c>
      <c r="D18" s="15"/>
      <c r="E18" s="15">
        <f t="shared" ref="E18:AA18" si="11">-E2*$B$18</f>
        <v>-9128.7</v>
      </c>
      <c r="F18" s="15">
        <f t="shared" si="11"/>
        <v>-9585.135</v>
      </c>
      <c r="G18" s="15">
        <f t="shared" si="11"/>
        <v>-10064.39175</v>
      </c>
      <c r="H18" s="15">
        <f t="shared" si="11"/>
        <v>-10567.61134</v>
      </c>
      <c r="I18" s="15">
        <f t="shared" si="11"/>
        <v>-11095.9919</v>
      </c>
      <c r="J18" s="15">
        <f t="shared" si="11"/>
        <v>-11650.7915</v>
      </c>
      <c r="K18" s="15">
        <f t="shared" si="11"/>
        <v>-12233.33107</v>
      </c>
      <c r="L18" s="15">
        <f t="shared" si="11"/>
        <v>-12844.99763</v>
      </c>
      <c r="M18" s="15">
        <f t="shared" si="11"/>
        <v>-13487.24751</v>
      </c>
      <c r="N18" s="15">
        <f t="shared" si="11"/>
        <v>-14161.60989</v>
      </c>
      <c r="O18" s="15">
        <f t="shared" si="11"/>
        <v>-14869.69038</v>
      </c>
      <c r="P18" s="15">
        <f t="shared" si="11"/>
        <v>-15613.1749</v>
      </c>
      <c r="Q18" s="15">
        <f t="shared" si="11"/>
        <v>-16393.83364</v>
      </c>
      <c r="R18" s="15">
        <f t="shared" si="11"/>
        <v>-17213.52533</v>
      </c>
      <c r="S18" s="15">
        <f t="shared" si="11"/>
        <v>-18074.20159</v>
      </c>
      <c r="T18" s="15">
        <f t="shared" si="11"/>
        <v>-18977.91167</v>
      </c>
      <c r="U18" s="15">
        <f t="shared" si="11"/>
        <v>-19926.80725</v>
      </c>
      <c r="V18" s="15">
        <f t="shared" si="11"/>
        <v>-20923.14762</v>
      </c>
      <c r="W18" s="15">
        <f t="shared" si="11"/>
        <v>-21969.305</v>
      </c>
      <c r="X18" s="15">
        <f t="shared" si="11"/>
        <v>-23067.77025</v>
      </c>
      <c r="Y18" s="15">
        <f t="shared" si="11"/>
        <v>-24221.15876</v>
      </c>
      <c r="Z18" s="15">
        <f t="shared" si="11"/>
        <v>-25432.2167</v>
      </c>
      <c r="AA18" s="15">
        <f t="shared" si="11"/>
        <v>-26703.82753</v>
      </c>
      <c r="AB18" s="16">
        <f t="shared" si="12"/>
        <v>-138383.498</v>
      </c>
      <c r="AC18" s="16">
        <f t="shared" ref="AC18:AC21" si="14">SUM(P18:AA18)</f>
        <v>-248516.8802</v>
      </c>
    </row>
    <row r="19" ht="12.75" customHeight="1">
      <c r="A19" s="17" t="s">
        <v>17</v>
      </c>
      <c r="B19" s="22">
        <v>0.25</v>
      </c>
      <c r="C19" s="15">
        <f>-C2*$B$19</f>
        <v>-24150</v>
      </c>
      <c r="D19" s="15"/>
      <c r="E19" s="15">
        <f t="shared" ref="E19:AA19" si="13">-E2*$B$19</f>
        <v>-25357.5</v>
      </c>
      <c r="F19" s="15">
        <f t="shared" si="13"/>
        <v>-26625.375</v>
      </c>
      <c r="G19" s="15">
        <f t="shared" si="13"/>
        <v>-27956.64375</v>
      </c>
      <c r="H19" s="15">
        <f t="shared" si="13"/>
        <v>-29354.47594</v>
      </c>
      <c r="I19" s="15">
        <f t="shared" si="13"/>
        <v>-30822.19973</v>
      </c>
      <c r="J19" s="15">
        <f t="shared" si="13"/>
        <v>-32363.30972</v>
      </c>
      <c r="K19" s="15">
        <f t="shared" si="13"/>
        <v>-33981.47521</v>
      </c>
      <c r="L19" s="15">
        <f t="shared" si="13"/>
        <v>-35680.54897</v>
      </c>
      <c r="M19" s="15">
        <f t="shared" si="13"/>
        <v>-37464.57642</v>
      </c>
      <c r="N19" s="15">
        <f t="shared" si="13"/>
        <v>-39337.80524</v>
      </c>
      <c r="O19" s="15">
        <f t="shared" si="13"/>
        <v>-41304.6955</v>
      </c>
      <c r="P19" s="15">
        <f t="shared" si="13"/>
        <v>-43369.93027</v>
      </c>
      <c r="Q19" s="15">
        <f t="shared" si="13"/>
        <v>-45538.42679</v>
      </c>
      <c r="R19" s="15">
        <f t="shared" si="13"/>
        <v>-47815.34813</v>
      </c>
      <c r="S19" s="15">
        <f t="shared" si="13"/>
        <v>-50206.11553</v>
      </c>
      <c r="T19" s="15">
        <f t="shared" si="13"/>
        <v>-52716.42131</v>
      </c>
      <c r="U19" s="15">
        <f t="shared" si="13"/>
        <v>-55352.24237</v>
      </c>
      <c r="V19" s="15">
        <f t="shared" si="13"/>
        <v>-58119.85449</v>
      </c>
      <c r="W19" s="15">
        <f t="shared" si="13"/>
        <v>-61025.84722</v>
      </c>
      <c r="X19" s="15">
        <f t="shared" si="13"/>
        <v>-64077.13958</v>
      </c>
      <c r="Y19" s="15">
        <f t="shared" si="13"/>
        <v>-67280.99656</v>
      </c>
      <c r="Z19" s="15">
        <f t="shared" si="13"/>
        <v>-70645.04639</v>
      </c>
      <c r="AA19" s="15">
        <f t="shared" si="13"/>
        <v>-74177.29871</v>
      </c>
      <c r="AB19" s="16">
        <f t="shared" si="12"/>
        <v>-384398.6055</v>
      </c>
      <c r="AC19" s="16">
        <f t="shared" si="14"/>
        <v>-690324.6673</v>
      </c>
    </row>
    <row r="20" ht="12.75" customHeight="1">
      <c r="A20" s="17" t="s">
        <v>18</v>
      </c>
      <c r="B20" s="29">
        <v>-29000.0</v>
      </c>
      <c r="C20" s="15">
        <f>$B$20</f>
        <v>-29000</v>
      </c>
      <c r="D20" s="15"/>
      <c r="E20" s="15">
        <f t="shared" ref="E20:AA20" si="15">$B$20</f>
        <v>-29000</v>
      </c>
      <c r="F20" s="15">
        <f t="shared" si="15"/>
        <v>-29000</v>
      </c>
      <c r="G20" s="15">
        <f t="shared" si="15"/>
        <v>-29000</v>
      </c>
      <c r="H20" s="15">
        <f t="shared" si="15"/>
        <v>-29000</v>
      </c>
      <c r="I20" s="15">
        <f t="shared" si="15"/>
        <v>-29000</v>
      </c>
      <c r="J20" s="15">
        <f t="shared" si="15"/>
        <v>-29000</v>
      </c>
      <c r="K20" s="15">
        <f t="shared" si="15"/>
        <v>-29000</v>
      </c>
      <c r="L20" s="15">
        <f t="shared" si="15"/>
        <v>-29000</v>
      </c>
      <c r="M20" s="15">
        <f t="shared" si="15"/>
        <v>-29000</v>
      </c>
      <c r="N20" s="15">
        <f t="shared" si="15"/>
        <v>-29000</v>
      </c>
      <c r="O20" s="15">
        <f t="shared" si="15"/>
        <v>-29000</v>
      </c>
      <c r="P20" s="15">
        <f t="shared" si="15"/>
        <v>-29000</v>
      </c>
      <c r="Q20" s="15">
        <f t="shared" si="15"/>
        <v>-29000</v>
      </c>
      <c r="R20" s="15">
        <f t="shared" si="15"/>
        <v>-29000</v>
      </c>
      <c r="S20" s="15">
        <f t="shared" si="15"/>
        <v>-29000</v>
      </c>
      <c r="T20" s="15">
        <f t="shared" si="15"/>
        <v>-29000</v>
      </c>
      <c r="U20" s="15">
        <f t="shared" si="15"/>
        <v>-29000</v>
      </c>
      <c r="V20" s="15">
        <f t="shared" si="15"/>
        <v>-29000</v>
      </c>
      <c r="W20" s="15">
        <f t="shared" si="15"/>
        <v>-29000</v>
      </c>
      <c r="X20" s="15">
        <f t="shared" si="15"/>
        <v>-29000</v>
      </c>
      <c r="Y20" s="15">
        <f t="shared" si="15"/>
        <v>-29000</v>
      </c>
      <c r="Z20" s="15">
        <f t="shared" si="15"/>
        <v>-29000</v>
      </c>
      <c r="AA20" s="15">
        <f t="shared" si="15"/>
        <v>-29000</v>
      </c>
      <c r="AB20" s="16">
        <f t="shared" si="12"/>
        <v>-348000</v>
      </c>
      <c r="AC20" s="16">
        <f t="shared" si="14"/>
        <v>-348000</v>
      </c>
    </row>
    <row r="21" ht="12.75" customHeight="1">
      <c r="A21" s="19" t="s">
        <v>19</v>
      </c>
      <c r="B21" s="29">
        <v>0.0</v>
      </c>
      <c r="C21" s="15">
        <f>$B$21</f>
        <v>0</v>
      </c>
      <c r="D21" s="15"/>
      <c r="E21" s="15">
        <f t="shared" ref="E21:AA21" si="16">$B$21</f>
        <v>0</v>
      </c>
      <c r="F21" s="15">
        <f t="shared" si="16"/>
        <v>0</v>
      </c>
      <c r="G21" s="15">
        <f t="shared" si="16"/>
        <v>0</v>
      </c>
      <c r="H21" s="15">
        <f t="shared" si="16"/>
        <v>0</v>
      </c>
      <c r="I21" s="15">
        <f t="shared" si="16"/>
        <v>0</v>
      </c>
      <c r="J21" s="15">
        <f t="shared" si="16"/>
        <v>0</v>
      </c>
      <c r="K21" s="15">
        <f t="shared" si="16"/>
        <v>0</v>
      </c>
      <c r="L21" s="15">
        <f t="shared" si="16"/>
        <v>0</v>
      </c>
      <c r="M21" s="15">
        <f t="shared" si="16"/>
        <v>0</v>
      </c>
      <c r="N21" s="15">
        <f t="shared" si="16"/>
        <v>0</v>
      </c>
      <c r="O21" s="15">
        <f t="shared" si="16"/>
        <v>0</v>
      </c>
      <c r="P21" s="15">
        <f t="shared" si="16"/>
        <v>0</v>
      </c>
      <c r="Q21" s="15">
        <f t="shared" si="16"/>
        <v>0</v>
      </c>
      <c r="R21" s="15">
        <f t="shared" si="16"/>
        <v>0</v>
      </c>
      <c r="S21" s="15">
        <f t="shared" si="16"/>
        <v>0</v>
      </c>
      <c r="T21" s="15">
        <f t="shared" si="16"/>
        <v>0</v>
      </c>
      <c r="U21" s="15">
        <f t="shared" si="16"/>
        <v>0</v>
      </c>
      <c r="V21" s="15">
        <f t="shared" si="16"/>
        <v>0</v>
      </c>
      <c r="W21" s="15">
        <f t="shared" si="16"/>
        <v>0</v>
      </c>
      <c r="X21" s="15">
        <f t="shared" si="16"/>
        <v>0</v>
      </c>
      <c r="Y21" s="15">
        <f t="shared" si="16"/>
        <v>0</v>
      </c>
      <c r="Z21" s="15">
        <f t="shared" si="16"/>
        <v>0</v>
      </c>
      <c r="AA21" s="15">
        <f t="shared" si="16"/>
        <v>0</v>
      </c>
      <c r="AB21" s="16">
        <f t="shared" si="12"/>
        <v>0</v>
      </c>
      <c r="AC21" s="16">
        <f t="shared" si="14"/>
        <v>0</v>
      </c>
    </row>
    <row r="22" ht="12.75" customHeight="1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/>
      <c r="AC22" s="33"/>
    </row>
    <row r="23" ht="12.75" customHeight="1">
      <c r="A23" s="5" t="s">
        <v>20</v>
      </c>
      <c r="B23" s="6"/>
      <c r="C23" s="7">
        <f>C2+C17</f>
        <v>34756</v>
      </c>
      <c r="D23" s="7"/>
      <c r="E23" s="7">
        <f t="shared" ref="E23:AA23" si="17">E2+E17</f>
        <v>37943.8</v>
      </c>
      <c r="F23" s="7">
        <f t="shared" si="17"/>
        <v>41290.99</v>
      </c>
      <c r="G23" s="7">
        <f t="shared" si="17"/>
        <v>44805.5395</v>
      </c>
      <c r="H23" s="7">
        <f t="shared" si="17"/>
        <v>48495.81648</v>
      </c>
      <c r="I23" s="7">
        <f t="shared" si="17"/>
        <v>52370.6073</v>
      </c>
      <c r="J23" s="7">
        <f t="shared" si="17"/>
        <v>56439.13766</v>
      </c>
      <c r="K23" s="7">
        <f t="shared" si="17"/>
        <v>60711.09455</v>
      </c>
      <c r="L23" s="7">
        <f t="shared" si="17"/>
        <v>65196.64927</v>
      </c>
      <c r="M23" s="7">
        <f t="shared" si="17"/>
        <v>69906.48174</v>
      </c>
      <c r="N23" s="7">
        <f t="shared" si="17"/>
        <v>74851.80582</v>
      </c>
      <c r="O23" s="7">
        <f t="shared" si="17"/>
        <v>80044.39612</v>
      </c>
      <c r="P23" s="7">
        <f t="shared" si="17"/>
        <v>85496.61592</v>
      </c>
      <c r="Q23" s="7">
        <f t="shared" si="17"/>
        <v>91221.44672</v>
      </c>
      <c r="R23" s="7">
        <f t="shared" si="17"/>
        <v>97232.51905</v>
      </c>
      <c r="S23" s="7">
        <f t="shared" si="17"/>
        <v>103544.145</v>
      </c>
      <c r="T23" s="7">
        <f t="shared" si="17"/>
        <v>110171.3523</v>
      </c>
      <c r="U23" s="7">
        <f t="shared" si="17"/>
        <v>117129.9199</v>
      </c>
      <c r="V23" s="7">
        <f t="shared" si="17"/>
        <v>124436.4159</v>
      </c>
      <c r="W23" s="7">
        <f t="shared" si="17"/>
        <v>132108.2367</v>
      </c>
      <c r="X23" s="7">
        <f t="shared" si="17"/>
        <v>140163.6485</v>
      </c>
      <c r="Y23" s="7">
        <f t="shared" si="17"/>
        <v>148621.8309</v>
      </c>
      <c r="Z23" s="7">
        <f t="shared" si="17"/>
        <v>157502.9225</v>
      </c>
      <c r="AA23" s="7">
        <f t="shared" si="17"/>
        <v>166828.0686</v>
      </c>
      <c r="AB23" s="8">
        <f>Sum(C23:O23)</f>
        <v>666812.3184</v>
      </c>
      <c r="AC23" s="8">
        <f>Sum(P23:AA23)</f>
        <v>1474457.122</v>
      </c>
    </row>
    <row r="24" ht="12.75" customHeight="1">
      <c r="A24" s="34" t="s">
        <v>21</v>
      </c>
      <c r="C24" s="35">
        <f>C23/C2</f>
        <v>0.3597929607</v>
      </c>
      <c r="D24" s="35"/>
      <c r="E24" s="35">
        <f t="shared" ref="E24:AA24" si="18">E23/E2</f>
        <v>0.374088534</v>
      </c>
      <c r="F24" s="35">
        <f t="shared" si="18"/>
        <v>0.3877033657</v>
      </c>
      <c r="G24" s="35">
        <f t="shared" si="18"/>
        <v>0.4006698721</v>
      </c>
      <c r="H24" s="35">
        <f t="shared" si="18"/>
        <v>0.4130189258</v>
      </c>
      <c r="I24" s="35">
        <f t="shared" si="18"/>
        <v>0.4247799293</v>
      </c>
      <c r="J24" s="35">
        <f t="shared" si="18"/>
        <v>0.4359808851</v>
      </c>
      <c r="K24" s="35">
        <f t="shared" si="18"/>
        <v>0.446648462</v>
      </c>
      <c r="L24" s="35">
        <f t="shared" si="18"/>
        <v>0.456808059</v>
      </c>
      <c r="M24" s="35">
        <f t="shared" si="18"/>
        <v>0.4664838657</v>
      </c>
      <c r="N24" s="35">
        <f t="shared" si="18"/>
        <v>0.4756989197</v>
      </c>
      <c r="O24" s="35">
        <f t="shared" si="18"/>
        <v>0.4844751617</v>
      </c>
      <c r="P24" s="35">
        <f t="shared" si="18"/>
        <v>0.4928334873</v>
      </c>
      <c r="Q24" s="35">
        <f t="shared" si="18"/>
        <v>0.5007937974</v>
      </c>
      <c r="R24" s="35">
        <f t="shared" si="18"/>
        <v>0.5083750452</v>
      </c>
      <c r="S24" s="35">
        <f t="shared" si="18"/>
        <v>0.5155952811</v>
      </c>
      <c r="T24" s="35">
        <f t="shared" si="18"/>
        <v>0.5224716963</v>
      </c>
      <c r="U24" s="35">
        <f t="shared" si="18"/>
        <v>0.5290206631</v>
      </c>
      <c r="V24" s="35">
        <f t="shared" si="18"/>
        <v>0.5352577744</v>
      </c>
      <c r="W24" s="35">
        <f t="shared" si="18"/>
        <v>0.5411978804</v>
      </c>
      <c r="X24" s="35">
        <f t="shared" si="18"/>
        <v>0.5468551242</v>
      </c>
      <c r="Y24" s="35">
        <f t="shared" si="18"/>
        <v>0.5522429754</v>
      </c>
      <c r="Z24" s="35">
        <f t="shared" si="18"/>
        <v>0.5573742623</v>
      </c>
      <c r="AA24" s="35">
        <f t="shared" si="18"/>
        <v>0.5622612022</v>
      </c>
      <c r="AB24" s="35">
        <f>AVERAGE(C24:O24)</f>
        <v>0.4271790784</v>
      </c>
      <c r="AC24" s="35">
        <f>AVERAGE(P24:AA24)</f>
        <v>0.5303565991</v>
      </c>
    </row>
    <row r="25" ht="12.75" customHeight="1">
      <c r="A25" s="30"/>
      <c r="B25" s="31"/>
      <c r="C25" s="32"/>
      <c r="AB25" s="36"/>
      <c r="AC25" s="36"/>
    </row>
    <row r="26" ht="28.5" customHeight="1">
      <c r="A26" s="26" t="s">
        <v>22</v>
      </c>
      <c r="B26" s="27"/>
      <c r="C26" s="28">
        <f>SUM(C27:C36)</f>
        <v>-108492</v>
      </c>
      <c r="D26" s="28"/>
      <c r="E26" s="28">
        <f t="shared" ref="E26:AA26" si="19">SUM(E27:E36)</f>
        <v>-110121.6</v>
      </c>
      <c r="F26" s="28">
        <f t="shared" si="19"/>
        <v>-111832.68</v>
      </c>
      <c r="G26" s="28">
        <f t="shared" si="19"/>
        <v>-113629.314</v>
      </c>
      <c r="H26" s="28">
        <f t="shared" si="19"/>
        <v>-115515.7797</v>
      </c>
      <c r="I26" s="28">
        <f t="shared" si="19"/>
        <v>-117496.5687</v>
      </c>
      <c r="J26" s="28">
        <f t="shared" si="19"/>
        <v>-119576.3971</v>
      </c>
      <c r="K26" s="28">
        <f t="shared" si="19"/>
        <v>-121760.217</v>
      </c>
      <c r="L26" s="28">
        <f t="shared" si="19"/>
        <v>-124053.2278</v>
      </c>
      <c r="M26" s="28">
        <f t="shared" si="19"/>
        <v>-126460.8892</v>
      </c>
      <c r="N26" s="28">
        <f t="shared" si="19"/>
        <v>-128988.9337</v>
      </c>
      <c r="O26" s="28">
        <f t="shared" si="19"/>
        <v>-131643.3804</v>
      </c>
      <c r="P26" s="28">
        <f t="shared" si="19"/>
        <v>-134430.5494</v>
      </c>
      <c r="Q26" s="28">
        <f t="shared" si="19"/>
        <v>-137357.0768</v>
      </c>
      <c r="R26" s="28">
        <f t="shared" si="19"/>
        <v>-140429.9307</v>
      </c>
      <c r="S26" s="28">
        <f t="shared" si="19"/>
        <v>-143656.4272</v>
      </c>
      <c r="T26" s="28">
        <f t="shared" si="19"/>
        <v>-147044.2486</v>
      </c>
      <c r="U26" s="28">
        <f t="shared" si="19"/>
        <v>-150601.461</v>
      </c>
      <c r="V26" s="28">
        <f t="shared" si="19"/>
        <v>-154336.5341</v>
      </c>
      <c r="W26" s="28">
        <f t="shared" si="19"/>
        <v>-158258.3608</v>
      </c>
      <c r="X26" s="28">
        <f t="shared" si="19"/>
        <v>-162376.2788</v>
      </c>
      <c r="Y26" s="28">
        <f t="shared" si="19"/>
        <v>-166700.0927</v>
      </c>
      <c r="Z26" s="28">
        <f t="shared" si="19"/>
        <v>-171240.0974</v>
      </c>
      <c r="AA26" s="28">
        <f t="shared" si="19"/>
        <v>-176007.1023</v>
      </c>
      <c r="AB26" s="8">
        <f t="shared" ref="AB26:AB35" si="21">Sum(C26:O26)</f>
        <v>-1429570.988</v>
      </c>
      <c r="AC26" s="8">
        <f>Sum(P26:AA26)</f>
        <v>-1842438.16</v>
      </c>
    </row>
    <row r="27" ht="12.75" customHeight="1">
      <c r="A27" s="37" t="s">
        <v>23</v>
      </c>
      <c r="B27" s="29">
        <v>-10000.0</v>
      </c>
      <c r="C27" s="15">
        <f>$B$27</f>
        <v>-10000</v>
      </c>
      <c r="D27" s="15"/>
      <c r="E27" s="15">
        <f t="shared" ref="E27:AA27" si="20">$B$27</f>
        <v>-10000</v>
      </c>
      <c r="F27" s="15">
        <f t="shared" si="20"/>
        <v>-10000</v>
      </c>
      <c r="G27" s="15">
        <f t="shared" si="20"/>
        <v>-10000</v>
      </c>
      <c r="H27" s="15">
        <f t="shared" si="20"/>
        <v>-10000</v>
      </c>
      <c r="I27" s="15">
        <f t="shared" si="20"/>
        <v>-10000</v>
      </c>
      <c r="J27" s="15">
        <f t="shared" si="20"/>
        <v>-10000</v>
      </c>
      <c r="K27" s="15">
        <f t="shared" si="20"/>
        <v>-10000</v>
      </c>
      <c r="L27" s="15">
        <f t="shared" si="20"/>
        <v>-10000</v>
      </c>
      <c r="M27" s="15">
        <f t="shared" si="20"/>
        <v>-10000</v>
      </c>
      <c r="N27" s="15">
        <f t="shared" si="20"/>
        <v>-10000</v>
      </c>
      <c r="O27" s="15">
        <f t="shared" si="20"/>
        <v>-10000</v>
      </c>
      <c r="P27" s="15">
        <f t="shared" si="20"/>
        <v>-10000</v>
      </c>
      <c r="Q27" s="15">
        <f t="shared" si="20"/>
        <v>-10000</v>
      </c>
      <c r="R27" s="15">
        <f t="shared" si="20"/>
        <v>-10000</v>
      </c>
      <c r="S27" s="15">
        <f t="shared" si="20"/>
        <v>-10000</v>
      </c>
      <c r="T27" s="15">
        <f t="shared" si="20"/>
        <v>-10000</v>
      </c>
      <c r="U27" s="15">
        <f t="shared" si="20"/>
        <v>-10000</v>
      </c>
      <c r="V27" s="15">
        <f t="shared" si="20"/>
        <v>-10000</v>
      </c>
      <c r="W27" s="15">
        <f t="shared" si="20"/>
        <v>-10000</v>
      </c>
      <c r="X27" s="15">
        <f t="shared" si="20"/>
        <v>-10000</v>
      </c>
      <c r="Y27" s="15">
        <f t="shared" si="20"/>
        <v>-10000</v>
      </c>
      <c r="Z27" s="15">
        <f t="shared" si="20"/>
        <v>-10000</v>
      </c>
      <c r="AA27" s="15">
        <f t="shared" si="20"/>
        <v>-10000</v>
      </c>
      <c r="AB27" s="16">
        <f t="shared" si="21"/>
        <v>-120000</v>
      </c>
      <c r="AC27" s="16">
        <f t="shared" ref="AC27:AC35" si="23">SUM(P27:AA27)</f>
        <v>-120000</v>
      </c>
    </row>
    <row r="28" ht="12.75" customHeight="1">
      <c r="A28" s="37" t="s">
        <v>24</v>
      </c>
      <c r="B28" s="29">
        <v>-40000.0</v>
      </c>
      <c r="C28" s="15">
        <f>$B$28</f>
        <v>-40000</v>
      </c>
      <c r="D28" s="15"/>
      <c r="E28" s="15">
        <f t="shared" ref="E28:AA28" si="22">$B$28</f>
        <v>-40000</v>
      </c>
      <c r="F28" s="15">
        <f t="shared" si="22"/>
        <v>-40000</v>
      </c>
      <c r="G28" s="15">
        <f t="shared" si="22"/>
        <v>-40000</v>
      </c>
      <c r="H28" s="15">
        <f t="shared" si="22"/>
        <v>-40000</v>
      </c>
      <c r="I28" s="15">
        <f t="shared" si="22"/>
        <v>-40000</v>
      </c>
      <c r="J28" s="15">
        <f t="shared" si="22"/>
        <v>-40000</v>
      </c>
      <c r="K28" s="15">
        <f t="shared" si="22"/>
        <v>-40000</v>
      </c>
      <c r="L28" s="15">
        <f t="shared" si="22"/>
        <v>-40000</v>
      </c>
      <c r="M28" s="15">
        <f t="shared" si="22"/>
        <v>-40000</v>
      </c>
      <c r="N28" s="15">
        <f t="shared" si="22"/>
        <v>-40000</v>
      </c>
      <c r="O28" s="15">
        <f t="shared" si="22"/>
        <v>-40000</v>
      </c>
      <c r="P28" s="15">
        <f t="shared" si="22"/>
        <v>-40000</v>
      </c>
      <c r="Q28" s="15">
        <f t="shared" si="22"/>
        <v>-40000</v>
      </c>
      <c r="R28" s="15">
        <f t="shared" si="22"/>
        <v>-40000</v>
      </c>
      <c r="S28" s="15">
        <f t="shared" si="22"/>
        <v>-40000</v>
      </c>
      <c r="T28" s="15">
        <f t="shared" si="22"/>
        <v>-40000</v>
      </c>
      <c r="U28" s="15">
        <f t="shared" si="22"/>
        <v>-40000</v>
      </c>
      <c r="V28" s="15">
        <f t="shared" si="22"/>
        <v>-40000</v>
      </c>
      <c r="W28" s="15">
        <f t="shared" si="22"/>
        <v>-40000</v>
      </c>
      <c r="X28" s="15">
        <f t="shared" si="22"/>
        <v>-40000</v>
      </c>
      <c r="Y28" s="15">
        <f t="shared" si="22"/>
        <v>-40000</v>
      </c>
      <c r="Z28" s="15">
        <f t="shared" si="22"/>
        <v>-40000</v>
      </c>
      <c r="AA28" s="15">
        <f t="shared" si="22"/>
        <v>-40000</v>
      </c>
      <c r="AB28" s="16">
        <f t="shared" si="21"/>
        <v>-480000</v>
      </c>
      <c r="AC28" s="16">
        <f t="shared" si="23"/>
        <v>-480000</v>
      </c>
    </row>
    <row r="29" ht="12.75" customHeight="1">
      <c r="A29" s="37" t="s">
        <v>25</v>
      </c>
      <c r="B29" s="38">
        <v>0.01</v>
      </c>
      <c r="C29" s="15">
        <f>-$B$29*C2</f>
        <v>-966</v>
      </c>
      <c r="D29" s="15"/>
      <c r="E29" s="15">
        <f t="shared" ref="E29:AA29" si="24">-$B$29*E2</f>
        <v>-1014.3</v>
      </c>
      <c r="F29" s="15">
        <f t="shared" si="24"/>
        <v>-1065.015</v>
      </c>
      <c r="G29" s="15">
        <f t="shared" si="24"/>
        <v>-1118.26575</v>
      </c>
      <c r="H29" s="15">
        <f t="shared" si="24"/>
        <v>-1174.179038</v>
      </c>
      <c r="I29" s="15">
        <f t="shared" si="24"/>
        <v>-1232.887989</v>
      </c>
      <c r="J29" s="15">
        <f t="shared" si="24"/>
        <v>-1294.532389</v>
      </c>
      <c r="K29" s="15">
        <f t="shared" si="24"/>
        <v>-1359.259008</v>
      </c>
      <c r="L29" s="15">
        <f t="shared" si="24"/>
        <v>-1427.221959</v>
      </c>
      <c r="M29" s="15">
        <f t="shared" si="24"/>
        <v>-1498.583057</v>
      </c>
      <c r="N29" s="15">
        <f t="shared" si="24"/>
        <v>-1573.512209</v>
      </c>
      <c r="O29" s="15">
        <f t="shared" si="24"/>
        <v>-1652.18782</v>
      </c>
      <c r="P29" s="15">
        <f t="shared" si="24"/>
        <v>-1734.797211</v>
      </c>
      <c r="Q29" s="15">
        <f t="shared" si="24"/>
        <v>-1821.537071</v>
      </c>
      <c r="R29" s="15">
        <f t="shared" si="24"/>
        <v>-1912.613925</v>
      </c>
      <c r="S29" s="15">
        <f t="shared" si="24"/>
        <v>-2008.244621</v>
      </c>
      <c r="T29" s="15">
        <f t="shared" si="24"/>
        <v>-2108.656852</v>
      </c>
      <c r="U29" s="15">
        <f t="shared" si="24"/>
        <v>-2214.089695</v>
      </c>
      <c r="V29" s="15">
        <f t="shared" si="24"/>
        <v>-2324.79418</v>
      </c>
      <c r="W29" s="15">
        <f t="shared" si="24"/>
        <v>-2441.033889</v>
      </c>
      <c r="X29" s="15">
        <f t="shared" si="24"/>
        <v>-2563.085583</v>
      </c>
      <c r="Y29" s="15">
        <f t="shared" si="24"/>
        <v>-2691.239862</v>
      </c>
      <c r="Z29" s="15">
        <f t="shared" si="24"/>
        <v>-2825.801855</v>
      </c>
      <c r="AA29" s="15">
        <f t="shared" si="24"/>
        <v>-2967.091948</v>
      </c>
      <c r="AB29" s="16">
        <f t="shared" si="21"/>
        <v>-15375.94422</v>
      </c>
      <c r="AC29" s="16">
        <f t="shared" si="23"/>
        <v>-27612.98669</v>
      </c>
    </row>
    <row r="30" ht="12.75" customHeight="1">
      <c r="A30" s="37" t="s">
        <v>26</v>
      </c>
      <c r="B30" s="38">
        <v>0.06</v>
      </c>
      <c r="C30" s="15">
        <f>-$B$30*C2</f>
        <v>-5796</v>
      </c>
      <c r="D30" s="15"/>
      <c r="E30" s="15">
        <f t="shared" ref="E30:AA30" si="25">-$B$30*E2</f>
        <v>-6085.8</v>
      </c>
      <c r="F30" s="15">
        <f t="shared" si="25"/>
        <v>-6390.09</v>
      </c>
      <c r="G30" s="15">
        <f t="shared" si="25"/>
        <v>-6709.5945</v>
      </c>
      <c r="H30" s="15">
        <f t="shared" si="25"/>
        <v>-7045.074225</v>
      </c>
      <c r="I30" s="15">
        <f t="shared" si="25"/>
        <v>-7397.327936</v>
      </c>
      <c r="J30" s="15">
        <f t="shared" si="25"/>
        <v>-7767.194333</v>
      </c>
      <c r="K30" s="15">
        <f t="shared" si="25"/>
        <v>-8155.55405</v>
      </c>
      <c r="L30" s="15">
        <f t="shared" si="25"/>
        <v>-8563.331752</v>
      </c>
      <c r="M30" s="15">
        <f t="shared" si="25"/>
        <v>-8991.49834</v>
      </c>
      <c r="N30" s="15">
        <f t="shared" si="25"/>
        <v>-9441.073257</v>
      </c>
      <c r="O30" s="15">
        <f t="shared" si="25"/>
        <v>-9913.12692</v>
      </c>
      <c r="P30" s="15">
        <f t="shared" si="25"/>
        <v>-10408.78327</v>
      </c>
      <c r="Q30" s="15">
        <f t="shared" si="25"/>
        <v>-10929.22243</v>
      </c>
      <c r="R30" s="15">
        <f t="shared" si="25"/>
        <v>-11475.68355</v>
      </c>
      <c r="S30" s="15">
        <f t="shared" si="25"/>
        <v>-12049.46773</v>
      </c>
      <c r="T30" s="15">
        <f t="shared" si="25"/>
        <v>-12651.94111</v>
      </c>
      <c r="U30" s="15">
        <f t="shared" si="25"/>
        <v>-13284.53817</v>
      </c>
      <c r="V30" s="15">
        <f t="shared" si="25"/>
        <v>-13948.76508</v>
      </c>
      <c r="W30" s="15">
        <f t="shared" si="25"/>
        <v>-14646.20333</v>
      </c>
      <c r="X30" s="15">
        <f t="shared" si="25"/>
        <v>-15378.5135</v>
      </c>
      <c r="Y30" s="15">
        <f t="shared" si="25"/>
        <v>-16147.43917</v>
      </c>
      <c r="Z30" s="15">
        <f t="shared" si="25"/>
        <v>-16954.81113</v>
      </c>
      <c r="AA30" s="15">
        <f t="shared" si="25"/>
        <v>-17802.55169</v>
      </c>
      <c r="AB30" s="16">
        <f t="shared" si="21"/>
        <v>-92255.66531</v>
      </c>
      <c r="AC30" s="16">
        <f t="shared" si="23"/>
        <v>-165677.9202</v>
      </c>
    </row>
    <row r="31" ht="12.75" customHeight="1">
      <c r="A31" s="37" t="s">
        <v>27</v>
      </c>
      <c r="B31" s="38">
        <v>0.05</v>
      </c>
      <c r="C31" s="15">
        <f>-$B$31*C2</f>
        <v>-4830</v>
      </c>
      <c r="D31" s="15"/>
      <c r="E31" s="15">
        <f t="shared" ref="E31:AA31" si="26">-$B$31*E2</f>
        <v>-5071.5</v>
      </c>
      <c r="F31" s="15">
        <f t="shared" si="26"/>
        <v>-5325.075</v>
      </c>
      <c r="G31" s="15">
        <f t="shared" si="26"/>
        <v>-5591.32875</v>
      </c>
      <c r="H31" s="15">
        <f t="shared" si="26"/>
        <v>-5870.895188</v>
      </c>
      <c r="I31" s="15">
        <f t="shared" si="26"/>
        <v>-6164.439947</v>
      </c>
      <c r="J31" s="15">
        <f t="shared" si="26"/>
        <v>-6472.661944</v>
      </c>
      <c r="K31" s="15">
        <f t="shared" si="26"/>
        <v>-6796.295041</v>
      </c>
      <c r="L31" s="15">
        <f t="shared" si="26"/>
        <v>-7136.109794</v>
      </c>
      <c r="M31" s="15">
        <f t="shared" si="26"/>
        <v>-7492.915283</v>
      </c>
      <c r="N31" s="15">
        <f t="shared" si="26"/>
        <v>-7867.561047</v>
      </c>
      <c r="O31" s="15">
        <f t="shared" si="26"/>
        <v>-8260.9391</v>
      </c>
      <c r="P31" s="15">
        <f t="shared" si="26"/>
        <v>-8673.986055</v>
      </c>
      <c r="Q31" s="15">
        <f t="shared" si="26"/>
        <v>-9107.685357</v>
      </c>
      <c r="R31" s="15">
        <f t="shared" si="26"/>
        <v>-9563.069625</v>
      </c>
      <c r="S31" s="15">
        <f t="shared" si="26"/>
        <v>-10041.22311</v>
      </c>
      <c r="T31" s="15">
        <f t="shared" si="26"/>
        <v>-10543.28426</v>
      </c>
      <c r="U31" s="15">
        <f t="shared" si="26"/>
        <v>-11070.44847</v>
      </c>
      <c r="V31" s="15">
        <f t="shared" si="26"/>
        <v>-11623.9709</v>
      </c>
      <c r="W31" s="15">
        <f t="shared" si="26"/>
        <v>-12205.16944</v>
      </c>
      <c r="X31" s="15">
        <f t="shared" si="26"/>
        <v>-12815.42792</v>
      </c>
      <c r="Y31" s="15">
        <f t="shared" si="26"/>
        <v>-13456.19931</v>
      </c>
      <c r="Z31" s="15">
        <f t="shared" si="26"/>
        <v>-14129.00928</v>
      </c>
      <c r="AA31" s="15">
        <f t="shared" si="26"/>
        <v>-14835.45974</v>
      </c>
      <c r="AB31" s="16">
        <f t="shared" si="21"/>
        <v>-76879.72109</v>
      </c>
      <c r="AC31" s="16">
        <f t="shared" si="23"/>
        <v>-138064.9335</v>
      </c>
    </row>
    <row r="32" ht="12.75" customHeight="1">
      <c r="A32" s="30" t="s">
        <v>14</v>
      </c>
      <c r="B32" s="39"/>
      <c r="C32" s="15">
        <f>C14</f>
        <v>-21000</v>
      </c>
      <c r="D32" s="15"/>
      <c r="E32" s="15">
        <f t="shared" ref="E32:AA32" si="27">E14</f>
        <v>-22050</v>
      </c>
      <c r="F32" s="15">
        <f t="shared" si="27"/>
        <v>-23152.5</v>
      </c>
      <c r="G32" s="15">
        <f t="shared" si="27"/>
        <v>-24310.125</v>
      </c>
      <c r="H32" s="15">
        <f t="shared" si="27"/>
        <v>-25525.63125</v>
      </c>
      <c r="I32" s="15">
        <f t="shared" si="27"/>
        <v>-26801.91281</v>
      </c>
      <c r="J32" s="15">
        <f t="shared" si="27"/>
        <v>-28142.00845</v>
      </c>
      <c r="K32" s="15">
        <f t="shared" si="27"/>
        <v>-29549.10888</v>
      </c>
      <c r="L32" s="15">
        <f t="shared" si="27"/>
        <v>-31026.56432</v>
      </c>
      <c r="M32" s="15">
        <f t="shared" si="27"/>
        <v>-32577.89254</v>
      </c>
      <c r="N32" s="15">
        <f t="shared" si="27"/>
        <v>-34206.78716</v>
      </c>
      <c r="O32" s="15">
        <f t="shared" si="27"/>
        <v>-35917.12652</v>
      </c>
      <c r="P32" s="15">
        <f t="shared" si="27"/>
        <v>-37712.98285</v>
      </c>
      <c r="Q32" s="15">
        <f t="shared" si="27"/>
        <v>-39598.63199</v>
      </c>
      <c r="R32" s="15">
        <f t="shared" si="27"/>
        <v>-41578.56359</v>
      </c>
      <c r="S32" s="15">
        <f t="shared" si="27"/>
        <v>-43657.49177</v>
      </c>
      <c r="T32" s="15">
        <f t="shared" si="27"/>
        <v>-45840.36636</v>
      </c>
      <c r="U32" s="15">
        <f t="shared" si="27"/>
        <v>-48132.38467</v>
      </c>
      <c r="V32" s="15">
        <f t="shared" si="27"/>
        <v>-50539.00391</v>
      </c>
      <c r="W32" s="15">
        <f t="shared" si="27"/>
        <v>-53065.9541</v>
      </c>
      <c r="X32" s="15">
        <f t="shared" si="27"/>
        <v>-55719.25181</v>
      </c>
      <c r="Y32" s="15">
        <f t="shared" si="27"/>
        <v>-58505.2144</v>
      </c>
      <c r="Z32" s="15">
        <f t="shared" si="27"/>
        <v>-61430.47512</v>
      </c>
      <c r="AA32" s="15">
        <f t="shared" si="27"/>
        <v>-64501.99887</v>
      </c>
      <c r="AB32" s="16">
        <f t="shared" si="21"/>
        <v>-334259.6569</v>
      </c>
      <c r="AC32" s="16">
        <f t="shared" si="23"/>
        <v>-600282.3194</v>
      </c>
    </row>
    <row r="33" ht="12.75" customHeight="1">
      <c r="A33" s="37" t="s">
        <v>28</v>
      </c>
      <c r="B33" s="29">
        <v>-3000.0</v>
      </c>
      <c r="C33" s="15">
        <f>$B$33</f>
        <v>-3000</v>
      </c>
      <c r="D33" s="15"/>
      <c r="E33" s="15">
        <f t="shared" ref="E33:AA33" si="28">$B$33</f>
        <v>-3000</v>
      </c>
      <c r="F33" s="15">
        <f t="shared" si="28"/>
        <v>-3000</v>
      </c>
      <c r="G33" s="15">
        <f t="shared" si="28"/>
        <v>-3000</v>
      </c>
      <c r="H33" s="15">
        <f t="shared" si="28"/>
        <v>-3000</v>
      </c>
      <c r="I33" s="15">
        <f t="shared" si="28"/>
        <v>-3000</v>
      </c>
      <c r="J33" s="15">
        <f t="shared" si="28"/>
        <v>-3000</v>
      </c>
      <c r="K33" s="15">
        <f t="shared" si="28"/>
        <v>-3000</v>
      </c>
      <c r="L33" s="15">
        <f t="shared" si="28"/>
        <v>-3000</v>
      </c>
      <c r="M33" s="15">
        <f t="shared" si="28"/>
        <v>-3000</v>
      </c>
      <c r="N33" s="15">
        <f t="shared" si="28"/>
        <v>-3000</v>
      </c>
      <c r="O33" s="15">
        <f t="shared" si="28"/>
        <v>-3000</v>
      </c>
      <c r="P33" s="15">
        <f t="shared" si="28"/>
        <v>-3000</v>
      </c>
      <c r="Q33" s="15">
        <f t="shared" si="28"/>
        <v>-3000</v>
      </c>
      <c r="R33" s="15">
        <f t="shared" si="28"/>
        <v>-3000</v>
      </c>
      <c r="S33" s="15">
        <f t="shared" si="28"/>
        <v>-3000</v>
      </c>
      <c r="T33" s="15">
        <f t="shared" si="28"/>
        <v>-3000</v>
      </c>
      <c r="U33" s="15">
        <f t="shared" si="28"/>
        <v>-3000</v>
      </c>
      <c r="V33" s="15">
        <f t="shared" si="28"/>
        <v>-3000</v>
      </c>
      <c r="W33" s="15">
        <f t="shared" si="28"/>
        <v>-3000</v>
      </c>
      <c r="X33" s="15">
        <f t="shared" si="28"/>
        <v>-3000</v>
      </c>
      <c r="Y33" s="15">
        <f t="shared" si="28"/>
        <v>-3000</v>
      </c>
      <c r="Z33" s="15">
        <f t="shared" si="28"/>
        <v>-3000</v>
      </c>
      <c r="AA33" s="15">
        <f t="shared" si="28"/>
        <v>-3000</v>
      </c>
      <c r="AB33" s="16">
        <f t="shared" si="21"/>
        <v>-36000</v>
      </c>
      <c r="AC33" s="16">
        <f t="shared" si="23"/>
        <v>-36000</v>
      </c>
    </row>
    <row r="34" ht="12.75" customHeight="1">
      <c r="A34" s="37" t="s">
        <v>29</v>
      </c>
      <c r="B34" s="29">
        <v>-7900.0</v>
      </c>
      <c r="C34" s="15">
        <f>$B$34</f>
        <v>-7900</v>
      </c>
      <c r="D34" s="15"/>
      <c r="E34" s="15">
        <f t="shared" ref="E34:AA34" si="29">$B$34</f>
        <v>-7900</v>
      </c>
      <c r="F34" s="15">
        <f t="shared" si="29"/>
        <v>-7900</v>
      </c>
      <c r="G34" s="15">
        <f t="shared" si="29"/>
        <v>-7900</v>
      </c>
      <c r="H34" s="15">
        <f t="shared" si="29"/>
        <v>-7900</v>
      </c>
      <c r="I34" s="15">
        <f t="shared" si="29"/>
        <v>-7900</v>
      </c>
      <c r="J34" s="15">
        <f t="shared" si="29"/>
        <v>-7900</v>
      </c>
      <c r="K34" s="15">
        <f t="shared" si="29"/>
        <v>-7900</v>
      </c>
      <c r="L34" s="15">
        <f t="shared" si="29"/>
        <v>-7900</v>
      </c>
      <c r="M34" s="15">
        <f t="shared" si="29"/>
        <v>-7900</v>
      </c>
      <c r="N34" s="15">
        <f t="shared" si="29"/>
        <v>-7900</v>
      </c>
      <c r="O34" s="15">
        <f t="shared" si="29"/>
        <v>-7900</v>
      </c>
      <c r="P34" s="15">
        <f t="shared" si="29"/>
        <v>-7900</v>
      </c>
      <c r="Q34" s="15">
        <f t="shared" si="29"/>
        <v>-7900</v>
      </c>
      <c r="R34" s="15">
        <f t="shared" si="29"/>
        <v>-7900</v>
      </c>
      <c r="S34" s="15">
        <f t="shared" si="29"/>
        <v>-7900</v>
      </c>
      <c r="T34" s="15">
        <f t="shared" si="29"/>
        <v>-7900</v>
      </c>
      <c r="U34" s="15">
        <f t="shared" si="29"/>
        <v>-7900</v>
      </c>
      <c r="V34" s="15">
        <f t="shared" si="29"/>
        <v>-7900</v>
      </c>
      <c r="W34" s="15">
        <f t="shared" si="29"/>
        <v>-7900</v>
      </c>
      <c r="X34" s="15">
        <f t="shared" si="29"/>
        <v>-7900</v>
      </c>
      <c r="Y34" s="15">
        <f t="shared" si="29"/>
        <v>-7900</v>
      </c>
      <c r="Z34" s="15">
        <f t="shared" si="29"/>
        <v>-7900</v>
      </c>
      <c r="AA34" s="15">
        <f t="shared" si="29"/>
        <v>-7900</v>
      </c>
      <c r="AB34" s="16">
        <f t="shared" si="21"/>
        <v>-94800</v>
      </c>
      <c r="AC34" s="16">
        <f t="shared" si="23"/>
        <v>-94800</v>
      </c>
    </row>
    <row r="35" ht="12.75" customHeight="1">
      <c r="A35" s="37" t="s">
        <v>19</v>
      </c>
      <c r="B35" s="40">
        <v>-15000.0</v>
      </c>
      <c r="C35" s="15">
        <f>$B$35</f>
        <v>-15000</v>
      </c>
      <c r="D35" s="15"/>
      <c r="E35" s="15">
        <f t="shared" ref="E35:AA35" si="30">$B$35</f>
        <v>-15000</v>
      </c>
      <c r="F35" s="15">
        <f t="shared" si="30"/>
        <v>-15000</v>
      </c>
      <c r="G35" s="15">
        <f t="shared" si="30"/>
        <v>-15000</v>
      </c>
      <c r="H35" s="15">
        <f t="shared" si="30"/>
        <v>-15000</v>
      </c>
      <c r="I35" s="15">
        <f t="shared" si="30"/>
        <v>-15000</v>
      </c>
      <c r="J35" s="15">
        <f t="shared" si="30"/>
        <v>-15000</v>
      </c>
      <c r="K35" s="15">
        <f t="shared" si="30"/>
        <v>-15000</v>
      </c>
      <c r="L35" s="15">
        <f t="shared" si="30"/>
        <v>-15000</v>
      </c>
      <c r="M35" s="15">
        <f t="shared" si="30"/>
        <v>-15000</v>
      </c>
      <c r="N35" s="15">
        <f t="shared" si="30"/>
        <v>-15000</v>
      </c>
      <c r="O35" s="15">
        <f t="shared" si="30"/>
        <v>-15000</v>
      </c>
      <c r="P35" s="15">
        <f t="shared" si="30"/>
        <v>-15000</v>
      </c>
      <c r="Q35" s="15">
        <f t="shared" si="30"/>
        <v>-15000</v>
      </c>
      <c r="R35" s="15">
        <f t="shared" si="30"/>
        <v>-15000</v>
      </c>
      <c r="S35" s="15">
        <f t="shared" si="30"/>
        <v>-15000</v>
      </c>
      <c r="T35" s="15">
        <f t="shared" si="30"/>
        <v>-15000</v>
      </c>
      <c r="U35" s="15">
        <f t="shared" si="30"/>
        <v>-15000</v>
      </c>
      <c r="V35" s="15">
        <f t="shared" si="30"/>
        <v>-15000</v>
      </c>
      <c r="W35" s="15">
        <f t="shared" si="30"/>
        <v>-15000</v>
      </c>
      <c r="X35" s="15">
        <f t="shared" si="30"/>
        <v>-15000</v>
      </c>
      <c r="Y35" s="15">
        <f t="shared" si="30"/>
        <v>-15000</v>
      </c>
      <c r="Z35" s="15">
        <f t="shared" si="30"/>
        <v>-15000</v>
      </c>
      <c r="AA35" s="15">
        <f t="shared" si="30"/>
        <v>-15000</v>
      </c>
      <c r="AB35" s="16">
        <f t="shared" si="21"/>
        <v>-180000</v>
      </c>
      <c r="AC35" s="16">
        <f t="shared" si="23"/>
        <v>-180000</v>
      </c>
    </row>
    <row r="36" ht="12.75" customHeight="1">
      <c r="A36" s="37"/>
      <c r="B36" s="41"/>
      <c r="C36" s="15" t="str">
        <f>$B$36</f>
        <v/>
      </c>
      <c r="D36" s="15"/>
      <c r="E36" s="15" t="str">
        <f t="shared" ref="E36:O36" si="31">$B$36</f>
        <v/>
      </c>
      <c r="F36" s="15" t="str">
        <f t="shared" si="31"/>
        <v/>
      </c>
      <c r="G36" s="15" t="str">
        <f t="shared" si="31"/>
        <v/>
      </c>
      <c r="H36" s="15" t="str">
        <f t="shared" si="31"/>
        <v/>
      </c>
      <c r="I36" s="15" t="str">
        <f t="shared" si="31"/>
        <v/>
      </c>
      <c r="J36" s="15" t="str">
        <f t="shared" si="31"/>
        <v/>
      </c>
      <c r="K36" s="15" t="str">
        <f t="shared" si="31"/>
        <v/>
      </c>
      <c r="L36" s="15" t="str">
        <f t="shared" si="31"/>
        <v/>
      </c>
      <c r="M36" s="15" t="str">
        <f t="shared" si="31"/>
        <v/>
      </c>
      <c r="N36" s="15" t="str">
        <f t="shared" si="31"/>
        <v/>
      </c>
      <c r="O36" s="15" t="str">
        <f t="shared" si="31"/>
        <v/>
      </c>
      <c r="AB36" s="36"/>
      <c r="AC36" s="36"/>
    </row>
    <row r="37" ht="12.75" customHeight="1">
      <c r="A37" s="30"/>
      <c r="B37" s="31"/>
      <c r="C37" s="32"/>
      <c r="AB37" s="36"/>
      <c r="AC37" s="36"/>
    </row>
    <row r="38" ht="28.5" customHeight="1">
      <c r="A38" s="26" t="s">
        <v>30</v>
      </c>
      <c r="B38" s="27"/>
      <c r="C38" s="28">
        <f>C23+C26</f>
        <v>-73736</v>
      </c>
      <c r="D38" s="28"/>
      <c r="E38" s="28">
        <f t="shared" ref="E38:AA38" si="32">E23+E26</f>
        <v>-72177.8</v>
      </c>
      <c r="F38" s="28">
        <f t="shared" si="32"/>
        <v>-70541.69</v>
      </c>
      <c r="G38" s="28">
        <f t="shared" si="32"/>
        <v>-68823.7745</v>
      </c>
      <c r="H38" s="28">
        <f t="shared" si="32"/>
        <v>-67019.96323</v>
      </c>
      <c r="I38" s="28">
        <f t="shared" si="32"/>
        <v>-65125.96139</v>
      </c>
      <c r="J38" s="28">
        <f t="shared" si="32"/>
        <v>-63137.25946</v>
      </c>
      <c r="K38" s="28">
        <f t="shared" si="32"/>
        <v>-61049.12243</v>
      </c>
      <c r="L38" s="28">
        <f t="shared" si="32"/>
        <v>-58856.57855</v>
      </c>
      <c r="M38" s="28">
        <f t="shared" si="32"/>
        <v>-56554.40748</v>
      </c>
      <c r="N38" s="28">
        <f t="shared" si="32"/>
        <v>-54137.12785</v>
      </c>
      <c r="O38" s="28">
        <f t="shared" si="32"/>
        <v>-51598.98424</v>
      </c>
      <c r="P38" s="28">
        <f t="shared" si="32"/>
        <v>-48933.93346</v>
      </c>
      <c r="Q38" s="28">
        <f t="shared" si="32"/>
        <v>-46135.63013</v>
      </c>
      <c r="R38" s="28">
        <f t="shared" si="32"/>
        <v>-43197.41164</v>
      </c>
      <c r="S38" s="28">
        <f t="shared" si="32"/>
        <v>-40112.28222</v>
      </c>
      <c r="T38" s="28">
        <f t="shared" si="32"/>
        <v>-36872.89633</v>
      </c>
      <c r="U38" s="28">
        <f t="shared" si="32"/>
        <v>-33471.54114</v>
      </c>
      <c r="V38" s="28">
        <f t="shared" si="32"/>
        <v>-29900.1182</v>
      </c>
      <c r="W38" s="28">
        <f t="shared" si="32"/>
        <v>-26150.12411</v>
      </c>
      <c r="X38" s="28">
        <f t="shared" si="32"/>
        <v>-22212.63032</v>
      </c>
      <c r="Y38" s="28">
        <f t="shared" si="32"/>
        <v>-18078.26183</v>
      </c>
      <c r="Z38" s="28">
        <f t="shared" si="32"/>
        <v>-13737.17492</v>
      </c>
      <c r="AA38" s="28">
        <f t="shared" si="32"/>
        <v>-9179.033671</v>
      </c>
      <c r="AB38" s="8">
        <f>Sum(C38:O38)</f>
        <v>-762758.6691</v>
      </c>
      <c r="AC38" s="8">
        <f>Sum(P38:AA38)</f>
        <v>-367981.038</v>
      </c>
    </row>
    <row r="39" ht="12.75" customHeight="1">
      <c r="A39" s="34" t="s">
        <v>31</v>
      </c>
      <c r="C39" s="35">
        <f>C38/C2</f>
        <v>-0.7633126294</v>
      </c>
      <c r="D39" s="35"/>
      <c r="E39" s="35">
        <f t="shared" ref="E39:AA39" si="33">E38/E2</f>
        <v>-0.7116020901</v>
      </c>
      <c r="F39" s="35">
        <f t="shared" si="33"/>
        <v>-0.6623539575</v>
      </c>
      <c r="G39" s="35">
        <f t="shared" si="33"/>
        <v>-0.615450974</v>
      </c>
      <c r="H39" s="35">
        <f t="shared" si="33"/>
        <v>-0.5707814659</v>
      </c>
      <c r="I39" s="35">
        <f t="shared" si="33"/>
        <v>-0.5282390773</v>
      </c>
      <c r="J39" s="35">
        <f t="shared" si="33"/>
        <v>-0.4877225166</v>
      </c>
      <c r="K39" s="35">
        <f t="shared" si="33"/>
        <v>-0.4491353161</v>
      </c>
      <c r="L39" s="35">
        <f t="shared" si="33"/>
        <v>-0.4123856012</v>
      </c>
      <c r="M39" s="35">
        <f t="shared" si="33"/>
        <v>-0.3773858728</v>
      </c>
      <c r="N39" s="35">
        <f t="shared" si="33"/>
        <v>-0.3440527981</v>
      </c>
      <c r="O39" s="35">
        <f t="shared" si="33"/>
        <v>-0.3123070127</v>
      </c>
      <c r="P39" s="35">
        <f t="shared" si="33"/>
        <v>-0.2820729313</v>
      </c>
      <c r="Q39" s="35">
        <f t="shared" si="33"/>
        <v>-0.2532785681</v>
      </c>
      <c r="R39" s="35">
        <f t="shared" si="33"/>
        <v>-0.2258553651</v>
      </c>
      <c r="S39" s="35">
        <f t="shared" si="33"/>
        <v>-0.1997380289</v>
      </c>
      <c r="T39" s="35">
        <f t="shared" si="33"/>
        <v>-0.1748643753</v>
      </c>
      <c r="U39" s="35">
        <f t="shared" si="33"/>
        <v>-0.1511751815</v>
      </c>
      <c r="V39" s="35">
        <f t="shared" si="33"/>
        <v>-0.1286140445</v>
      </c>
      <c r="W39" s="35">
        <f t="shared" si="33"/>
        <v>-0.1071272473</v>
      </c>
      <c r="X39" s="35">
        <f t="shared" si="33"/>
        <v>-0.08666363099</v>
      </c>
      <c r="Y39" s="35">
        <f t="shared" si="33"/>
        <v>-0.06717447258</v>
      </c>
      <c r="Z39" s="35">
        <f t="shared" si="33"/>
        <v>-0.04861336933</v>
      </c>
      <c r="AA39" s="35">
        <f t="shared" si="33"/>
        <v>-0.03093612814</v>
      </c>
      <c r="AB39" s="35">
        <f>AVERAGE(C39:O39)</f>
        <v>-0.519560776</v>
      </c>
      <c r="AC39" s="35">
        <f>AVERAGE(P39:AA39)</f>
        <v>-0.1463427786</v>
      </c>
    </row>
    <row r="40" ht="12.75" customHeight="1">
      <c r="A40" s="37" t="s">
        <v>32</v>
      </c>
      <c r="B40" s="22">
        <v>0.06</v>
      </c>
      <c r="C40" s="15">
        <f>-$B$40*C2</f>
        <v>-5796</v>
      </c>
      <c r="D40" s="15"/>
      <c r="E40" s="15">
        <f t="shared" ref="E40:AA40" si="34">-$B$40*E2</f>
        <v>-6085.8</v>
      </c>
      <c r="F40" s="15">
        <f t="shared" si="34"/>
        <v>-6390.09</v>
      </c>
      <c r="G40" s="15">
        <f t="shared" si="34"/>
        <v>-6709.5945</v>
      </c>
      <c r="H40" s="15">
        <f t="shared" si="34"/>
        <v>-7045.074225</v>
      </c>
      <c r="I40" s="15">
        <f t="shared" si="34"/>
        <v>-7397.327936</v>
      </c>
      <c r="J40" s="15">
        <f t="shared" si="34"/>
        <v>-7767.194333</v>
      </c>
      <c r="K40" s="15">
        <f t="shared" si="34"/>
        <v>-8155.55405</v>
      </c>
      <c r="L40" s="15">
        <f t="shared" si="34"/>
        <v>-8563.331752</v>
      </c>
      <c r="M40" s="15">
        <f t="shared" si="34"/>
        <v>-8991.49834</v>
      </c>
      <c r="N40" s="15">
        <f t="shared" si="34"/>
        <v>-9441.073257</v>
      </c>
      <c r="O40" s="15">
        <f t="shared" si="34"/>
        <v>-9913.12692</v>
      </c>
      <c r="P40" s="15">
        <f t="shared" si="34"/>
        <v>-10408.78327</v>
      </c>
      <c r="Q40" s="15">
        <f t="shared" si="34"/>
        <v>-10929.22243</v>
      </c>
      <c r="R40" s="15">
        <f t="shared" si="34"/>
        <v>-11475.68355</v>
      </c>
      <c r="S40" s="15">
        <f t="shared" si="34"/>
        <v>-12049.46773</v>
      </c>
      <c r="T40" s="15">
        <f t="shared" si="34"/>
        <v>-12651.94111</v>
      </c>
      <c r="U40" s="15">
        <f t="shared" si="34"/>
        <v>-13284.53817</v>
      </c>
      <c r="V40" s="15">
        <f t="shared" si="34"/>
        <v>-13948.76508</v>
      </c>
      <c r="W40" s="15">
        <f t="shared" si="34"/>
        <v>-14646.20333</v>
      </c>
      <c r="X40" s="15">
        <f t="shared" si="34"/>
        <v>-15378.5135</v>
      </c>
      <c r="Y40" s="15">
        <f t="shared" si="34"/>
        <v>-16147.43917</v>
      </c>
      <c r="Z40" s="15">
        <f t="shared" si="34"/>
        <v>-16954.81113</v>
      </c>
      <c r="AA40" s="15">
        <f t="shared" si="34"/>
        <v>-17802.55169</v>
      </c>
      <c r="AB40" s="16">
        <f t="shared" ref="AB40:AB42" si="36">Sum(C40:O40)</f>
        <v>-92255.66531</v>
      </c>
      <c r="AC40" s="16">
        <f t="shared" ref="AC40:AC41" si="37">SUM(P40:AA40)</f>
        <v>-165677.9202</v>
      </c>
    </row>
    <row r="41" ht="12.75" customHeight="1">
      <c r="A41" s="37" t="s">
        <v>33</v>
      </c>
      <c r="B41" s="29">
        <v>-9500.0</v>
      </c>
      <c r="C41" s="15">
        <f>$B$41</f>
        <v>-9500</v>
      </c>
      <c r="D41" s="15"/>
      <c r="E41" s="15">
        <f t="shared" ref="E41:AA41" si="35">$B$41</f>
        <v>-9500</v>
      </c>
      <c r="F41" s="15">
        <f t="shared" si="35"/>
        <v>-9500</v>
      </c>
      <c r="G41" s="15">
        <f t="shared" si="35"/>
        <v>-9500</v>
      </c>
      <c r="H41" s="15">
        <f t="shared" si="35"/>
        <v>-9500</v>
      </c>
      <c r="I41" s="15">
        <f t="shared" si="35"/>
        <v>-9500</v>
      </c>
      <c r="J41" s="15">
        <f t="shared" si="35"/>
        <v>-9500</v>
      </c>
      <c r="K41" s="15">
        <f t="shared" si="35"/>
        <v>-9500</v>
      </c>
      <c r="L41" s="15">
        <f t="shared" si="35"/>
        <v>-9500</v>
      </c>
      <c r="M41" s="15">
        <f t="shared" si="35"/>
        <v>-9500</v>
      </c>
      <c r="N41" s="15">
        <f t="shared" si="35"/>
        <v>-9500</v>
      </c>
      <c r="O41" s="15">
        <f t="shared" si="35"/>
        <v>-9500</v>
      </c>
      <c r="P41" s="15">
        <f t="shared" si="35"/>
        <v>-9500</v>
      </c>
      <c r="Q41" s="15">
        <f t="shared" si="35"/>
        <v>-9500</v>
      </c>
      <c r="R41" s="15">
        <f t="shared" si="35"/>
        <v>-9500</v>
      </c>
      <c r="S41" s="15">
        <f t="shared" si="35"/>
        <v>-9500</v>
      </c>
      <c r="T41" s="15">
        <f t="shared" si="35"/>
        <v>-9500</v>
      </c>
      <c r="U41" s="15">
        <f t="shared" si="35"/>
        <v>-9500</v>
      </c>
      <c r="V41" s="15">
        <f t="shared" si="35"/>
        <v>-9500</v>
      </c>
      <c r="W41" s="15">
        <f t="shared" si="35"/>
        <v>-9500</v>
      </c>
      <c r="X41" s="15">
        <f t="shared" si="35"/>
        <v>-9500</v>
      </c>
      <c r="Y41" s="15">
        <f t="shared" si="35"/>
        <v>-9500</v>
      </c>
      <c r="Z41" s="15">
        <f t="shared" si="35"/>
        <v>-9500</v>
      </c>
      <c r="AA41" s="15">
        <f t="shared" si="35"/>
        <v>-9500</v>
      </c>
      <c r="AB41" s="16">
        <f t="shared" si="36"/>
        <v>-114000</v>
      </c>
      <c r="AC41" s="16">
        <f t="shared" si="37"/>
        <v>-114000</v>
      </c>
    </row>
    <row r="42" ht="12.75" customHeight="1">
      <c r="A42" s="37" t="s">
        <v>34</v>
      </c>
      <c r="B42" s="29">
        <v>0.0</v>
      </c>
      <c r="C42" s="15">
        <f>$B$42</f>
        <v>0</v>
      </c>
      <c r="D42" s="15"/>
      <c r="E42" s="15">
        <f t="shared" ref="E42:AA42" si="38">$B$42</f>
        <v>0</v>
      </c>
      <c r="F42" s="15">
        <f t="shared" si="38"/>
        <v>0</v>
      </c>
      <c r="G42" s="15">
        <f t="shared" si="38"/>
        <v>0</v>
      </c>
      <c r="H42" s="15">
        <f t="shared" si="38"/>
        <v>0</v>
      </c>
      <c r="I42" s="15">
        <f t="shared" si="38"/>
        <v>0</v>
      </c>
      <c r="J42" s="15">
        <f t="shared" si="38"/>
        <v>0</v>
      </c>
      <c r="K42" s="15">
        <f t="shared" si="38"/>
        <v>0</v>
      </c>
      <c r="L42" s="15">
        <f t="shared" si="38"/>
        <v>0</v>
      </c>
      <c r="M42" s="15">
        <f t="shared" si="38"/>
        <v>0</v>
      </c>
      <c r="N42" s="15">
        <f t="shared" si="38"/>
        <v>0</v>
      </c>
      <c r="O42" s="15">
        <f t="shared" si="38"/>
        <v>0</v>
      </c>
      <c r="P42" s="15">
        <f t="shared" si="38"/>
        <v>0</v>
      </c>
      <c r="Q42" s="15">
        <f t="shared" si="38"/>
        <v>0</v>
      </c>
      <c r="R42" s="15">
        <f t="shared" si="38"/>
        <v>0</v>
      </c>
      <c r="S42" s="15">
        <f t="shared" si="38"/>
        <v>0</v>
      </c>
      <c r="T42" s="15">
        <f t="shared" si="38"/>
        <v>0</v>
      </c>
      <c r="U42" s="15">
        <f t="shared" si="38"/>
        <v>0</v>
      </c>
      <c r="V42" s="15">
        <f t="shared" si="38"/>
        <v>0</v>
      </c>
      <c r="W42" s="15">
        <f t="shared" si="38"/>
        <v>0</v>
      </c>
      <c r="X42" s="15">
        <f t="shared" si="38"/>
        <v>0</v>
      </c>
      <c r="Y42" s="15">
        <f t="shared" si="38"/>
        <v>0</v>
      </c>
      <c r="Z42" s="15">
        <f t="shared" si="38"/>
        <v>0</v>
      </c>
      <c r="AA42" s="15">
        <f t="shared" si="38"/>
        <v>0</v>
      </c>
      <c r="AB42" s="16">
        <f t="shared" si="36"/>
        <v>0</v>
      </c>
      <c r="AC42" s="16">
        <f>SUM(B42:AA42)</f>
        <v>0</v>
      </c>
    </row>
    <row r="43" ht="12.75" customHeight="1">
      <c r="A43" s="30"/>
      <c r="B43" s="31"/>
      <c r="C43" s="32"/>
      <c r="AB43" s="36"/>
      <c r="AC43" s="36"/>
    </row>
    <row r="44" ht="28.5" customHeight="1">
      <c r="A44" s="26" t="s">
        <v>63</v>
      </c>
      <c r="B44" s="27"/>
      <c r="C44" s="28">
        <f>C38+C40+C41+C42</f>
        <v>-89032</v>
      </c>
      <c r="D44" s="28"/>
      <c r="E44" s="28">
        <f t="shared" ref="E44:AA44" si="39">E38+E40+E41+E42</f>
        <v>-87763.6</v>
      </c>
      <c r="F44" s="28">
        <f t="shared" si="39"/>
        <v>-86431.78</v>
      </c>
      <c r="G44" s="28">
        <f t="shared" si="39"/>
        <v>-85033.369</v>
      </c>
      <c r="H44" s="28">
        <f t="shared" si="39"/>
        <v>-83565.03745</v>
      </c>
      <c r="I44" s="28">
        <f t="shared" si="39"/>
        <v>-82023.28932</v>
      </c>
      <c r="J44" s="28">
        <f t="shared" si="39"/>
        <v>-80404.45379</v>
      </c>
      <c r="K44" s="28">
        <f t="shared" si="39"/>
        <v>-78704.67648</v>
      </c>
      <c r="L44" s="28">
        <f t="shared" si="39"/>
        <v>-76919.9103</v>
      </c>
      <c r="M44" s="28">
        <f t="shared" si="39"/>
        <v>-75045.90582</v>
      </c>
      <c r="N44" s="28">
        <f t="shared" si="39"/>
        <v>-73078.20111</v>
      </c>
      <c r="O44" s="28">
        <f t="shared" si="39"/>
        <v>-71012.11116</v>
      </c>
      <c r="P44" s="28">
        <f t="shared" si="39"/>
        <v>-68842.71672</v>
      </c>
      <c r="Q44" s="28">
        <f t="shared" si="39"/>
        <v>-66564.85256</v>
      </c>
      <c r="R44" s="28">
        <f t="shared" si="39"/>
        <v>-64173.09519</v>
      </c>
      <c r="S44" s="28">
        <f t="shared" si="39"/>
        <v>-61661.74994</v>
      </c>
      <c r="T44" s="28">
        <f t="shared" si="39"/>
        <v>-59024.83744</v>
      </c>
      <c r="U44" s="28">
        <f t="shared" si="39"/>
        <v>-56256.07931</v>
      </c>
      <c r="V44" s="28">
        <f t="shared" si="39"/>
        <v>-53348.88328</v>
      </c>
      <c r="W44" s="28">
        <f t="shared" si="39"/>
        <v>-50296.32744</v>
      </c>
      <c r="X44" s="28">
        <f t="shared" si="39"/>
        <v>-47091.14382</v>
      </c>
      <c r="Y44" s="28">
        <f t="shared" si="39"/>
        <v>-43725.70101</v>
      </c>
      <c r="Z44" s="28">
        <f t="shared" si="39"/>
        <v>-40191.98606</v>
      </c>
      <c r="AA44" s="28">
        <f t="shared" si="39"/>
        <v>-36481.58536</v>
      </c>
      <c r="AB44" s="8">
        <f>Sum(C44:O44)</f>
        <v>-969014.3344</v>
      </c>
      <c r="AC44" s="8">
        <f>Sum(P44:AA44)</f>
        <v>-647658.9581</v>
      </c>
    </row>
    <row r="45" ht="12.75" customHeight="1">
      <c r="A45" s="34" t="s">
        <v>36</v>
      </c>
      <c r="C45" s="35">
        <f>C44/C2</f>
        <v>-0.9216563147</v>
      </c>
      <c r="D45" s="35"/>
      <c r="E45" s="35">
        <f t="shared" ref="E45:AA45" si="40">E44/E2</f>
        <v>-0.8652627428</v>
      </c>
      <c r="F45" s="35">
        <f t="shared" si="40"/>
        <v>-0.811554579</v>
      </c>
      <c r="G45" s="35">
        <f t="shared" si="40"/>
        <v>-0.7604039469</v>
      </c>
      <c r="H45" s="35">
        <f t="shared" si="40"/>
        <v>-0.7116890592</v>
      </c>
      <c r="I45" s="35">
        <f t="shared" si="40"/>
        <v>-0.665293928</v>
      </c>
      <c r="J45" s="35">
        <f t="shared" si="40"/>
        <v>-0.6211080888</v>
      </c>
      <c r="K45" s="35">
        <f t="shared" si="40"/>
        <v>-0.5790263371</v>
      </c>
      <c r="L45" s="35">
        <f t="shared" si="40"/>
        <v>-0.5389484784</v>
      </c>
      <c r="M45" s="35">
        <f t="shared" si="40"/>
        <v>-0.5007790892</v>
      </c>
      <c r="N45" s="35">
        <f t="shared" si="40"/>
        <v>-0.4644272899</v>
      </c>
      <c r="O45" s="35">
        <f t="shared" si="40"/>
        <v>-0.4298065287</v>
      </c>
      <c r="P45" s="35">
        <f t="shared" si="40"/>
        <v>-0.3968343752</v>
      </c>
      <c r="Q45" s="35">
        <f t="shared" si="40"/>
        <v>-0.3654323242</v>
      </c>
      <c r="R45" s="35">
        <f t="shared" si="40"/>
        <v>-0.3355256089</v>
      </c>
      <c r="S45" s="35">
        <f t="shared" si="40"/>
        <v>-0.307043023</v>
      </c>
      <c r="T45" s="35">
        <f t="shared" si="40"/>
        <v>-0.2799167507</v>
      </c>
      <c r="U45" s="35">
        <f t="shared" si="40"/>
        <v>-0.2540822056</v>
      </c>
      <c r="V45" s="35">
        <f t="shared" si="40"/>
        <v>-0.229477877</v>
      </c>
      <c r="W45" s="35">
        <f t="shared" si="40"/>
        <v>-0.2060451831</v>
      </c>
      <c r="X45" s="35">
        <f t="shared" si="40"/>
        <v>-0.1837283317</v>
      </c>
      <c r="Y45" s="35">
        <f t="shared" si="40"/>
        <v>-0.1624741875</v>
      </c>
      <c r="Z45" s="35">
        <f t="shared" si="40"/>
        <v>-0.1422321455</v>
      </c>
      <c r="AA45" s="35">
        <f t="shared" si="40"/>
        <v>-0.1229540102</v>
      </c>
      <c r="AB45" s="35">
        <f>AVERAGE(C45:O45)</f>
        <v>-0.6558296986</v>
      </c>
      <c r="AC45" s="35">
        <f>AVERAGE(P45:AA45)</f>
        <v>-0.2488121685</v>
      </c>
    </row>
    <row r="46" ht="12.75" customHeight="1">
      <c r="A46" s="37" t="s">
        <v>64</v>
      </c>
      <c r="C46" s="15">
        <f>B46+C44</f>
        <v>-89032</v>
      </c>
      <c r="D46" s="15"/>
      <c r="E46" s="15">
        <f>C46+E44</f>
        <v>-176795.6</v>
      </c>
      <c r="F46" s="15">
        <f t="shared" ref="F46:AA46" si="41">E46+F44</f>
        <v>-263227.38</v>
      </c>
      <c r="G46" s="15">
        <f t="shared" si="41"/>
        <v>-348260.749</v>
      </c>
      <c r="H46" s="15">
        <f t="shared" si="41"/>
        <v>-431825.7865</v>
      </c>
      <c r="I46" s="15">
        <f t="shared" si="41"/>
        <v>-513849.0758</v>
      </c>
      <c r="J46" s="15">
        <f t="shared" si="41"/>
        <v>-594253.5296</v>
      </c>
      <c r="K46" s="15">
        <f t="shared" si="41"/>
        <v>-672958.206</v>
      </c>
      <c r="L46" s="15">
        <f t="shared" si="41"/>
        <v>-749878.1163</v>
      </c>
      <c r="M46" s="15">
        <f t="shared" si="41"/>
        <v>-824924.0222</v>
      </c>
      <c r="N46" s="15">
        <f t="shared" si="41"/>
        <v>-898002.2233</v>
      </c>
      <c r="O46" s="15">
        <f t="shared" si="41"/>
        <v>-969014.3344</v>
      </c>
      <c r="P46" s="15">
        <f t="shared" si="41"/>
        <v>-1037857.051</v>
      </c>
      <c r="Q46" s="15">
        <f t="shared" si="41"/>
        <v>-1104421.904</v>
      </c>
      <c r="R46" s="15">
        <f t="shared" si="41"/>
        <v>-1168594.999</v>
      </c>
      <c r="S46" s="15">
        <f t="shared" si="41"/>
        <v>-1230256.749</v>
      </c>
      <c r="T46" s="15">
        <f t="shared" si="41"/>
        <v>-1289281.586</v>
      </c>
      <c r="U46" s="15">
        <f t="shared" si="41"/>
        <v>-1345537.666</v>
      </c>
      <c r="V46" s="15">
        <f t="shared" si="41"/>
        <v>-1398886.549</v>
      </c>
      <c r="W46" s="15">
        <f t="shared" si="41"/>
        <v>-1449182.876</v>
      </c>
      <c r="X46" s="15">
        <f t="shared" si="41"/>
        <v>-1496274.02</v>
      </c>
      <c r="Y46" s="15">
        <f t="shared" si="41"/>
        <v>-1539999.721</v>
      </c>
      <c r="Z46" s="15">
        <f t="shared" si="41"/>
        <v>-1580191.707</v>
      </c>
      <c r="AA46" s="15">
        <f t="shared" si="41"/>
        <v>-1616673.293</v>
      </c>
      <c r="AB46" s="16">
        <f>Sum(C46:O46)</f>
        <v>-6532021.023</v>
      </c>
      <c r="AC46" s="16">
        <f>SUM(P46:AA46)</f>
        <v>-16257158.12</v>
      </c>
    </row>
    <row r="47" ht="12.75" customHeight="1">
      <c r="A47" s="30"/>
      <c r="B47" s="31"/>
      <c r="C47" s="32"/>
      <c r="AB47" s="36"/>
      <c r="AC47" s="36"/>
    </row>
    <row r="48" ht="28.5" customHeight="1">
      <c r="A48" s="26" t="s">
        <v>38</v>
      </c>
      <c r="B48" s="27"/>
      <c r="C48" s="28">
        <f t="shared" ref="C48:C49" si="43">C54+C60</f>
        <v>169050</v>
      </c>
      <c r="D48" s="28"/>
      <c r="E48" s="28">
        <f t="shared" ref="E48:AA48" si="42">E54+E60</f>
        <v>177502.5</v>
      </c>
      <c r="F48" s="28">
        <f t="shared" si="42"/>
        <v>186377.625</v>
      </c>
      <c r="G48" s="28">
        <f t="shared" si="42"/>
        <v>195696.5063</v>
      </c>
      <c r="H48" s="28">
        <f t="shared" si="42"/>
        <v>205481.3316</v>
      </c>
      <c r="I48" s="28">
        <f t="shared" si="42"/>
        <v>215755.3981</v>
      </c>
      <c r="J48" s="28">
        <f t="shared" si="42"/>
        <v>226543.168</v>
      </c>
      <c r="K48" s="28">
        <f t="shared" si="42"/>
        <v>237870.3265</v>
      </c>
      <c r="L48" s="28">
        <f t="shared" si="42"/>
        <v>249763.8428</v>
      </c>
      <c r="M48" s="28">
        <f t="shared" si="42"/>
        <v>262252.0349</v>
      </c>
      <c r="N48" s="28">
        <f t="shared" si="42"/>
        <v>275364.6367</v>
      </c>
      <c r="O48" s="28">
        <f t="shared" si="42"/>
        <v>289132.8685</v>
      </c>
      <c r="P48" s="28">
        <f t="shared" si="42"/>
        <v>303589.5119</v>
      </c>
      <c r="Q48" s="28">
        <f t="shared" si="42"/>
        <v>318768.9875</v>
      </c>
      <c r="R48" s="28">
        <f t="shared" si="42"/>
        <v>334707.4369</v>
      </c>
      <c r="S48" s="28">
        <f t="shared" si="42"/>
        <v>351442.8087</v>
      </c>
      <c r="T48" s="28">
        <f t="shared" si="42"/>
        <v>369014.9492</v>
      </c>
      <c r="U48" s="28">
        <f t="shared" si="42"/>
        <v>387465.6966</v>
      </c>
      <c r="V48" s="28">
        <f t="shared" si="42"/>
        <v>406838.9815</v>
      </c>
      <c r="W48" s="28">
        <f t="shared" si="42"/>
        <v>427180.9305</v>
      </c>
      <c r="X48" s="28">
        <f t="shared" si="42"/>
        <v>448539.9771</v>
      </c>
      <c r="Y48" s="28">
        <f t="shared" si="42"/>
        <v>470966.9759</v>
      </c>
      <c r="Z48" s="28">
        <f t="shared" si="42"/>
        <v>494515.3247</v>
      </c>
      <c r="AA48" s="28">
        <f t="shared" si="42"/>
        <v>519241.0909</v>
      </c>
      <c r="AB48" s="8">
        <f t="shared" ref="AB48:AB49" si="45">Sum(C48:O48)</f>
        <v>2690790.238</v>
      </c>
      <c r="AC48" s="8">
        <f>Sum(P48:AA48)</f>
        <v>4832272.671</v>
      </c>
    </row>
    <row r="49" ht="12.75" customHeight="1">
      <c r="A49" s="37" t="s">
        <v>39</v>
      </c>
      <c r="B49" s="43"/>
      <c r="C49" s="15">
        <f t="shared" si="43"/>
        <v>169050</v>
      </c>
      <c r="D49" s="15"/>
      <c r="E49" s="15">
        <f t="shared" ref="E49:AA49" si="44">E55+E61</f>
        <v>8452.5</v>
      </c>
      <c r="F49" s="15">
        <f t="shared" si="44"/>
        <v>8875.125</v>
      </c>
      <c r="G49" s="15">
        <f t="shared" si="44"/>
        <v>9318.88125</v>
      </c>
      <c r="H49" s="15">
        <f t="shared" si="44"/>
        <v>9784.825312</v>
      </c>
      <c r="I49" s="15">
        <f t="shared" si="44"/>
        <v>10274.06658</v>
      </c>
      <c r="J49" s="15">
        <f t="shared" si="44"/>
        <v>10787.76991</v>
      </c>
      <c r="K49" s="15">
        <f t="shared" si="44"/>
        <v>11327.1584</v>
      </c>
      <c r="L49" s="15">
        <f t="shared" si="44"/>
        <v>11893.51632</v>
      </c>
      <c r="M49" s="15">
        <f t="shared" si="44"/>
        <v>12488.19214</v>
      </c>
      <c r="N49" s="15">
        <f t="shared" si="44"/>
        <v>13112.60175</v>
      </c>
      <c r="O49" s="15">
        <f t="shared" si="44"/>
        <v>13768.23183</v>
      </c>
      <c r="P49" s="15">
        <f t="shared" si="44"/>
        <v>14456.64342</v>
      </c>
      <c r="Q49" s="15">
        <f t="shared" si="44"/>
        <v>15179.4756</v>
      </c>
      <c r="R49" s="15">
        <f t="shared" si="44"/>
        <v>15938.44938</v>
      </c>
      <c r="S49" s="15">
        <f t="shared" si="44"/>
        <v>16735.37184</v>
      </c>
      <c r="T49" s="15">
        <f t="shared" si="44"/>
        <v>17572.14044</v>
      </c>
      <c r="U49" s="15">
        <f t="shared" si="44"/>
        <v>18450.74746</v>
      </c>
      <c r="V49" s="15">
        <f t="shared" si="44"/>
        <v>19373.28483</v>
      </c>
      <c r="W49" s="15">
        <f t="shared" si="44"/>
        <v>20341.94907</v>
      </c>
      <c r="X49" s="15">
        <f t="shared" si="44"/>
        <v>21359.04653</v>
      </c>
      <c r="Y49" s="15">
        <f t="shared" si="44"/>
        <v>22426.99885</v>
      </c>
      <c r="Z49" s="15">
        <f t="shared" si="44"/>
        <v>23548.3488</v>
      </c>
      <c r="AA49" s="15">
        <f t="shared" si="44"/>
        <v>24725.76624</v>
      </c>
      <c r="AB49" s="16">
        <f t="shared" si="45"/>
        <v>289132.8685</v>
      </c>
      <c r="AC49" s="16">
        <f>SUM(P49:AA49)</f>
        <v>230108.2224</v>
      </c>
    </row>
    <row r="50" ht="12.75" customHeight="1">
      <c r="A50" s="30"/>
      <c r="B50" s="31"/>
      <c r="C50" s="32"/>
      <c r="AB50" s="36"/>
      <c r="AC50" s="36"/>
    </row>
    <row r="51" ht="28.5" customHeight="1">
      <c r="A51" s="26" t="s">
        <v>40</v>
      </c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8"/>
      <c r="AC51" s="8"/>
    </row>
    <row r="52" ht="12.75" customHeight="1">
      <c r="A52" s="37" t="s">
        <v>41</v>
      </c>
      <c r="B52" s="29">
        <v>30.0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AB52" s="36"/>
      <c r="AC52" s="36"/>
    </row>
    <row r="53" ht="12.75" customHeight="1">
      <c r="A53" s="30" t="s">
        <v>42</v>
      </c>
      <c r="B53" s="31"/>
      <c r="C53" s="15">
        <f>B54</f>
        <v>0</v>
      </c>
      <c r="D53" s="15"/>
      <c r="E53" s="15">
        <f>C54</f>
        <v>24150</v>
      </c>
      <c r="F53" s="15">
        <f t="shared" ref="F53:AA53" si="46">E54</f>
        <v>25357.5</v>
      </c>
      <c r="G53" s="15">
        <f t="shared" si="46"/>
        <v>26625.375</v>
      </c>
      <c r="H53" s="15">
        <f t="shared" si="46"/>
        <v>27956.64375</v>
      </c>
      <c r="I53" s="15">
        <f t="shared" si="46"/>
        <v>29354.47594</v>
      </c>
      <c r="J53" s="15">
        <f t="shared" si="46"/>
        <v>30822.19973</v>
      </c>
      <c r="K53" s="15">
        <f t="shared" si="46"/>
        <v>32363.30972</v>
      </c>
      <c r="L53" s="15">
        <f t="shared" si="46"/>
        <v>33981.47521</v>
      </c>
      <c r="M53" s="15">
        <f t="shared" si="46"/>
        <v>35680.54897</v>
      </c>
      <c r="N53" s="15">
        <f t="shared" si="46"/>
        <v>37464.57642</v>
      </c>
      <c r="O53" s="15">
        <f t="shared" si="46"/>
        <v>39337.80524</v>
      </c>
      <c r="P53" s="15">
        <f t="shared" si="46"/>
        <v>41304.6955</v>
      </c>
      <c r="Q53" s="15">
        <f t="shared" si="46"/>
        <v>43369.93027</v>
      </c>
      <c r="R53" s="15">
        <f t="shared" si="46"/>
        <v>45538.42679</v>
      </c>
      <c r="S53" s="15">
        <f t="shared" si="46"/>
        <v>47815.34813</v>
      </c>
      <c r="T53" s="15">
        <f t="shared" si="46"/>
        <v>50206.11553</v>
      </c>
      <c r="U53" s="15">
        <f t="shared" si="46"/>
        <v>52716.42131</v>
      </c>
      <c r="V53" s="15">
        <f t="shared" si="46"/>
        <v>55352.24237</v>
      </c>
      <c r="W53" s="15">
        <f t="shared" si="46"/>
        <v>58119.85449</v>
      </c>
      <c r="X53" s="15">
        <f t="shared" si="46"/>
        <v>61025.84722</v>
      </c>
      <c r="Y53" s="15">
        <f t="shared" si="46"/>
        <v>64077.13958</v>
      </c>
      <c r="Z53" s="15">
        <f t="shared" si="46"/>
        <v>67280.99656</v>
      </c>
      <c r="AA53" s="15">
        <f t="shared" si="46"/>
        <v>70645.04639</v>
      </c>
      <c r="AB53" s="16">
        <f t="shared" ref="AB53:AB55" si="48">Sum(C53:O53)</f>
        <v>343093.91</v>
      </c>
      <c r="AC53" s="16">
        <f t="shared" ref="AC53:AC55" si="49">SUM(P53:AA53)</f>
        <v>657452.0641</v>
      </c>
    </row>
    <row r="54" ht="12.75" customHeight="1">
      <c r="A54" s="37" t="s">
        <v>43</v>
      </c>
      <c r="B54" s="40">
        <v>0.0</v>
      </c>
      <c r="C54" s="15">
        <f>-C19*$B$52/30</f>
        <v>24150</v>
      </c>
      <c r="D54" s="15"/>
      <c r="E54" s="15">
        <f t="shared" ref="E54:AA54" si="47">-E19*$B$52/30</f>
        <v>25357.5</v>
      </c>
      <c r="F54" s="15">
        <f t="shared" si="47"/>
        <v>26625.375</v>
      </c>
      <c r="G54" s="15">
        <f t="shared" si="47"/>
        <v>27956.64375</v>
      </c>
      <c r="H54" s="15">
        <f t="shared" si="47"/>
        <v>29354.47594</v>
      </c>
      <c r="I54" s="15">
        <f t="shared" si="47"/>
        <v>30822.19973</v>
      </c>
      <c r="J54" s="15">
        <f t="shared" si="47"/>
        <v>32363.30972</v>
      </c>
      <c r="K54" s="15">
        <f t="shared" si="47"/>
        <v>33981.47521</v>
      </c>
      <c r="L54" s="15">
        <f t="shared" si="47"/>
        <v>35680.54897</v>
      </c>
      <c r="M54" s="15">
        <f t="shared" si="47"/>
        <v>37464.57642</v>
      </c>
      <c r="N54" s="15">
        <f t="shared" si="47"/>
        <v>39337.80524</v>
      </c>
      <c r="O54" s="15">
        <f t="shared" si="47"/>
        <v>41304.6955</v>
      </c>
      <c r="P54" s="15">
        <f t="shared" si="47"/>
        <v>43369.93027</v>
      </c>
      <c r="Q54" s="15">
        <f t="shared" si="47"/>
        <v>45538.42679</v>
      </c>
      <c r="R54" s="15">
        <f t="shared" si="47"/>
        <v>47815.34813</v>
      </c>
      <c r="S54" s="15">
        <f t="shared" si="47"/>
        <v>50206.11553</v>
      </c>
      <c r="T54" s="15">
        <f t="shared" si="47"/>
        <v>52716.42131</v>
      </c>
      <c r="U54" s="15">
        <f t="shared" si="47"/>
        <v>55352.24237</v>
      </c>
      <c r="V54" s="15">
        <f t="shared" si="47"/>
        <v>58119.85449</v>
      </c>
      <c r="W54" s="15">
        <f t="shared" si="47"/>
        <v>61025.84722</v>
      </c>
      <c r="X54" s="15">
        <f t="shared" si="47"/>
        <v>64077.13958</v>
      </c>
      <c r="Y54" s="15">
        <f t="shared" si="47"/>
        <v>67280.99656</v>
      </c>
      <c r="Z54" s="15">
        <f t="shared" si="47"/>
        <v>70645.04639</v>
      </c>
      <c r="AA54" s="15">
        <f t="shared" si="47"/>
        <v>74177.29871</v>
      </c>
      <c r="AB54" s="16">
        <f t="shared" si="48"/>
        <v>384398.6055</v>
      </c>
      <c r="AC54" s="16">
        <f t="shared" si="49"/>
        <v>690324.6673</v>
      </c>
    </row>
    <row r="55" ht="12.75" customHeight="1">
      <c r="A55" s="30" t="s">
        <v>44</v>
      </c>
      <c r="B55" s="31"/>
      <c r="C55" s="15">
        <f>C54-C53</f>
        <v>24150</v>
      </c>
      <c r="D55" s="15"/>
      <c r="E55" s="15">
        <f t="shared" ref="E55:AA55" si="50">E54-E53</f>
        <v>1207.5</v>
      </c>
      <c r="F55" s="15">
        <f t="shared" si="50"/>
        <v>1267.875</v>
      </c>
      <c r="G55" s="15">
        <f t="shared" si="50"/>
        <v>1331.26875</v>
      </c>
      <c r="H55" s="15">
        <f t="shared" si="50"/>
        <v>1397.832187</v>
      </c>
      <c r="I55" s="15">
        <f t="shared" si="50"/>
        <v>1467.723797</v>
      </c>
      <c r="J55" s="15">
        <f t="shared" si="50"/>
        <v>1541.109987</v>
      </c>
      <c r="K55" s="15">
        <f t="shared" si="50"/>
        <v>1618.165486</v>
      </c>
      <c r="L55" s="15">
        <f t="shared" si="50"/>
        <v>1699.07376</v>
      </c>
      <c r="M55" s="15">
        <f t="shared" si="50"/>
        <v>1784.027448</v>
      </c>
      <c r="N55" s="15">
        <f t="shared" si="50"/>
        <v>1873.228821</v>
      </c>
      <c r="O55" s="15">
        <f t="shared" si="50"/>
        <v>1966.890262</v>
      </c>
      <c r="P55" s="15">
        <f t="shared" si="50"/>
        <v>2065.234775</v>
      </c>
      <c r="Q55" s="15">
        <f t="shared" si="50"/>
        <v>2168.496514</v>
      </c>
      <c r="R55" s="15">
        <f t="shared" si="50"/>
        <v>2276.921339</v>
      </c>
      <c r="S55" s="15">
        <f t="shared" si="50"/>
        <v>2390.767406</v>
      </c>
      <c r="T55" s="15">
        <f t="shared" si="50"/>
        <v>2510.305777</v>
      </c>
      <c r="U55" s="15">
        <f t="shared" si="50"/>
        <v>2635.821065</v>
      </c>
      <c r="V55" s="15">
        <f t="shared" si="50"/>
        <v>2767.612119</v>
      </c>
      <c r="W55" s="15">
        <f t="shared" si="50"/>
        <v>2905.992725</v>
      </c>
      <c r="X55" s="15">
        <f t="shared" si="50"/>
        <v>3051.292361</v>
      </c>
      <c r="Y55" s="15">
        <f t="shared" si="50"/>
        <v>3203.856979</v>
      </c>
      <c r="Z55" s="15">
        <f t="shared" si="50"/>
        <v>3364.049828</v>
      </c>
      <c r="AA55" s="15">
        <f t="shared" si="50"/>
        <v>3532.252319</v>
      </c>
      <c r="AB55" s="16">
        <f t="shared" si="48"/>
        <v>41304.6955</v>
      </c>
      <c r="AC55" s="16">
        <f t="shared" si="49"/>
        <v>32872.60321</v>
      </c>
    </row>
    <row r="56" ht="12.75" customHeight="1">
      <c r="A56" s="30"/>
      <c r="B56" s="31"/>
      <c r="C56" s="15"/>
      <c r="AB56" s="36"/>
      <c r="AC56" s="36"/>
    </row>
    <row r="57" ht="28.5" customHeight="1">
      <c r="A57" s="26" t="s">
        <v>45</v>
      </c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8"/>
      <c r="AC57" s="8"/>
    </row>
    <row r="58" ht="12.75" customHeight="1">
      <c r="A58" s="37" t="s">
        <v>46</v>
      </c>
      <c r="B58" s="29">
        <v>45.0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AB58" s="36"/>
      <c r="AC58" s="36"/>
    </row>
    <row r="59" ht="12.75" customHeight="1">
      <c r="A59" s="30" t="s">
        <v>47</v>
      </c>
      <c r="B59" s="31"/>
      <c r="C59" s="15">
        <f>B60</f>
        <v>0</v>
      </c>
      <c r="D59" s="15"/>
      <c r="E59" s="15">
        <f>C60</f>
        <v>144900</v>
      </c>
      <c r="F59" s="15">
        <f t="shared" ref="F59:AA59" si="51">E60</f>
        <v>152145</v>
      </c>
      <c r="G59" s="15">
        <f t="shared" si="51"/>
        <v>159752.25</v>
      </c>
      <c r="H59" s="15">
        <f t="shared" si="51"/>
        <v>167739.8625</v>
      </c>
      <c r="I59" s="15">
        <f t="shared" si="51"/>
        <v>176126.8556</v>
      </c>
      <c r="J59" s="15">
        <f t="shared" si="51"/>
        <v>184933.1984</v>
      </c>
      <c r="K59" s="15">
        <f t="shared" si="51"/>
        <v>194179.8583</v>
      </c>
      <c r="L59" s="15">
        <f t="shared" si="51"/>
        <v>203888.8512</v>
      </c>
      <c r="M59" s="15">
        <f t="shared" si="51"/>
        <v>214083.2938</v>
      </c>
      <c r="N59" s="15">
        <f t="shared" si="51"/>
        <v>224787.4585</v>
      </c>
      <c r="O59" s="15">
        <f t="shared" si="51"/>
        <v>236026.8314</v>
      </c>
      <c r="P59" s="15">
        <f t="shared" si="51"/>
        <v>247828.173</v>
      </c>
      <c r="Q59" s="15">
        <f t="shared" si="51"/>
        <v>260219.5816</v>
      </c>
      <c r="R59" s="15">
        <f t="shared" si="51"/>
        <v>273230.5607</v>
      </c>
      <c r="S59" s="15">
        <f t="shared" si="51"/>
        <v>286892.0888</v>
      </c>
      <c r="T59" s="15">
        <f t="shared" si="51"/>
        <v>301236.6932</v>
      </c>
      <c r="U59" s="15">
        <f t="shared" si="51"/>
        <v>316298.5279</v>
      </c>
      <c r="V59" s="15">
        <f t="shared" si="51"/>
        <v>332113.4542</v>
      </c>
      <c r="W59" s="15">
        <f t="shared" si="51"/>
        <v>348719.127</v>
      </c>
      <c r="X59" s="15">
        <f t="shared" si="51"/>
        <v>366155.0833</v>
      </c>
      <c r="Y59" s="15">
        <f t="shared" si="51"/>
        <v>384462.8375</v>
      </c>
      <c r="Z59" s="15">
        <f t="shared" si="51"/>
        <v>403685.9793</v>
      </c>
      <c r="AA59" s="15">
        <f t="shared" si="51"/>
        <v>423870.2783</v>
      </c>
      <c r="AB59" s="16">
        <f t="shared" ref="AB59:AB61" si="53">Sum(C59:O59)</f>
        <v>2058563.46</v>
      </c>
      <c r="AC59" s="16">
        <f t="shared" ref="AC59:AC61" si="54">SUM(P59:AA59)</f>
        <v>3944712.385</v>
      </c>
    </row>
    <row r="60" ht="12.75" customHeight="1">
      <c r="A60" s="37" t="s">
        <v>48</v>
      </c>
      <c r="B60" s="40">
        <v>0.0</v>
      </c>
      <c r="C60" s="15">
        <f>C2*$B$58/30</f>
        <v>144900</v>
      </c>
      <c r="D60" s="15"/>
      <c r="E60" s="15">
        <f t="shared" ref="E60:AA60" si="52">E2*$B$58/30</f>
        <v>152145</v>
      </c>
      <c r="F60" s="15">
        <f t="shared" si="52"/>
        <v>159752.25</v>
      </c>
      <c r="G60" s="15">
        <f t="shared" si="52"/>
        <v>167739.8625</v>
      </c>
      <c r="H60" s="15">
        <f t="shared" si="52"/>
        <v>176126.8556</v>
      </c>
      <c r="I60" s="15">
        <f t="shared" si="52"/>
        <v>184933.1984</v>
      </c>
      <c r="J60" s="15">
        <f t="shared" si="52"/>
        <v>194179.8583</v>
      </c>
      <c r="K60" s="15">
        <f t="shared" si="52"/>
        <v>203888.8512</v>
      </c>
      <c r="L60" s="15">
        <f t="shared" si="52"/>
        <v>214083.2938</v>
      </c>
      <c r="M60" s="15">
        <f t="shared" si="52"/>
        <v>224787.4585</v>
      </c>
      <c r="N60" s="15">
        <f t="shared" si="52"/>
        <v>236026.8314</v>
      </c>
      <c r="O60" s="15">
        <f t="shared" si="52"/>
        <v>247828.173</v>
      </c>
      <c r="P60" s="15">
        <f t="shared" si="52"/>
        <v>260219.5816</v>
      </c>
      <c r="Q60" s="15">
        <f t="shared" si="52"/>
        <v>273230.5607</v>
      </c>
      <c r="R60" s="15">
        <f t="shared" si="52"/>
        <v>286892.0888</v>
      </c>
      <c r="S60" s="15">
        <f t="shared" si="52"/>
        <v>301236.6932</v>
      </c>
      <c r="T60" s="15">
        <f t="shared" si="52"/>
        <v>316298.5279</v>
      </c>
      <c r="U60" s="15">
        <f t="shared" si="52"/>
        <v>332113.4542</v>
      </c>
      <c r="V60" s="15">
        <f t="shared" si="52"/>
        <v>348719.127</v>
      </c>
      <c r="W60" s="15">
        <f t="shared" si="52"/>
        <v>366155.0833</v>
      </c>
      <c r="X60" s="15">
        <f t="shared" si="52"/>
        <v>384462.8375</v>
      </c>
      <c r="Y60" s="15">
        <f t="shared" si="52"/>
        <v>403685.9793</v>
      </c>
      <c r="Z60" s="15">
        <f t="shared" si="52"/>
        <v>423870.2783</v>
      </c>
      <c r="AA60" s="15">
        <f t="shared" si="52"/>
        <v>445063.7922</v>
      </c>
      <c r="AB60" s="16">
        <f t="shared" si="53"/>
        <v>2306391.633</v>
      </c>
      <c r="AC60" s="16">
        <f t="shared" si="54"/>
        <v>4141948.004</v>
      </c>
    </row>
    <row r="61" ht="12.75" customHeight="1">
      <c r="A61" s="30" t="s">
        <v>49</v>
      </c>
      <c r="B61" s="31"/>
      <c r="C61" s="15">
        <f>C60-C59</f>
        <v>144900</v>
      </c>
      <c r="D61" s="15"/>
      <c r="E61" s="15">
        <f t="shared" ref="E61:AA61" si="55">E60-E59</f>
        <v>7245</v>
      </c>
      <c r="F61" s="15">
        <f t="shared" si="55"/>
        <v>7607.25</v>
      </c>
      <c r="G61" s="15">
        <f t="shared" si="55"/>
        <v>7987.6125</v>
      </c>
      <c r="H61" s="15">
        <f t="shared" si="55"/>
        <v>8386.993125</v>
      </c>
      <c r="I61" s="15">
        <f t="shared" si="55"/>
        <v>8806.342781</v>
      </c>
      <c r="J61" s="15">
        <f t="shared" si="55"/>
        <v>9246.65992</v>
      </c>
      <c r="K61" s="15">
        <f t="shared" si="55"/>
        <v>9708.992916</v>
      </c>
      <c r="L61" s="15">
        <f t="shared" si="55"/>
        <v>10194.44256</v>
      </c>
      <c r="M61" s="15">
        <f t="shared" si="55"/>
        <v>10704.16469</v>
      </c>
      <c r="N61" s="15">
        <f t="shared" si="55"/>
        <v>11239.37292</v>
      </c>
      <c r="O61" s="15">
        <f t="shared" si="55"/>
        <v>11801.34157</v>
      </c>
      <c r="P61" s="15">
        <f t="shared" si="55"/>
        <v>12391.40865</v>
      </c>
      <c r="Q61" s="15">
        <f t="shared" si="55"/>
        <v>13010.97908</v>
      </c>
      <c r="R61" s="15">
        <f t="shared" si="55"/>
        <v>13661.52804</v>
      </c>
      <c r="S61" s="15">
        <f t="shared" si="55"/>
        <v>14344.60444</v>
      </c>
      <c r="T61" s="15">
        <f t="shared" si="55"/>
        <v>15061.83466</v>
      </c>
      <c r="U61" s="15">
        <f t="shared" si="55"/>
        <v>15814.92639</v>
      </c>
      <c r="V61" s="15">
        <f t="shared" si="55"/>
        <v>16605.67271</v>
      </c>
      <c r="W61" s="15">
        <f t="shared" si="55"/>
        <v>17435.95635</v>
      </c>
      <c r="X61" s="15">
        <f t="shared" si="55"/>
        <v>18307.75417</v>
      </c>
      <c r="Y61" s="15">
        <f t="shared" si="55"/>
        <v>19223.14187</v>
      </c>
      <c r="Z61" s="15">
        <f t="shared" si="55"/>
        <v>20184.29897</v>
      </c>
      <c r="AA61" s="15">
        <f t="shared" si="55"/>
        <v>21193.51392</v>
      </c>
      <c r="AB61" s="16">
        <f t="shared" si="53"/>
        <v>247828.173</v>
      </c>
      <c r="AC61" s="16">
        <f t="shared" si="54"/>
        <v>197235.6192</v>
      </c>
    </row>
    <row r="62" ht="12.75" customHeight="1">
      <c r="A62" s="30"/>
      <c r="B62" s="31"/>
      <c r="C62" s="15"/>
      <c r="AB62" s="36"/>
      <c r="AC62" s="36"/>
    </row>
    <row r="63" ht="28.5" customHeight="1">
      <c r="A63" s="26" t="s">
        <v>50</v>
      </c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8"/>
      <c r="AC63" s="8"/>
    </row>
    <row r="64" ht="29.25" customHeight="1">
      <c r="A64" s="45" t="s">
        <v>51</v>
      </c>
      <c r="B64" s="46"/>
      <c r="C64" s="11">
        <f>B76</f>
        <v>0</v>
      </c>
      <c r="D64" s="11"/>
      <c r="E64" s="11">
        <f>C76</f>
        <v>-453082</v>
      </c>
      <c r="F64" s="11">
        <f t="shared" ref="F64:AA64" si="56">E76</f>
        <v>-549298.1</v>
      </c>
      <c r="G64" s="11">
        <f t="shared" si="56"/>
        <v>-644605.005</v>
      </c>
      <c r="H64" s="11">
        <f t="shared" si="56"/>
        <v>-738957.2553</v>
      </c>
      <c r="I64" s="11">
        <f t="shared" si="56"/>
        <v>-832307.118</v>
      </c>
      <c r="J64" s="11">
        <f t="shared" si="56"/>
        <v>-924604.4739</v>
      </c>
      <c r="K64" s="11">
        <f t="shared" si="56"/>
        <v>-1015796.698</v>
      </c>
      <c r="L64" s="11">
        <f t="shared" si="56"/>
        <v>-1105828.532</v>
      </c>
      <c r="M64" s="11">
        <f t="shared" si="56"/>
        <v>-1194641.959</v>
      </c>
      <c r="N64" s="11">
        <f t="shared" si="56"/>
        <v>-1282176.057</v>
      </c>
      <c r="O64" s="11">
        <f t="shared" si="56"/>
        <v>-1368366.86</v>
      </c>
      <c r="P64" s="11">
        <f t="shared" si="56"/>
        <v>-1453147.203</v>
      </c>
      <c r="Q64" s="11">
        <f t="shared" si="56"/>
        <v>-1536446.563</v>
      </c>
      <c r="R64" s="11">
        <f t="shared" si="56"/>
        <v>-1618190.891</v>
      </c>
      <c r="S64" s="11">
        <f t="shared" si="56"/>
        <v>-1698302.436</v>
      </c>
      <c r="T64" s="11">
        <f t="shared" si="56"/>
        <v>-1776699.558</v>
      </c>
      <c r="U64" s="11">
        <f t="shared" si="56"/>
        <v>-1853296.535</v>
      </c>
      <c r="V64" s="11">
        <f t="shared" si="56"/>
        <v>-1928003.362</v>
      </c>
      <c r="W64" s="11">
        <f t="shared" si="56"/>
        <v>-2000725.53</v>
      </c>
      <c r="X64" s="11">
        <f t="shared" si="56"/>
        <v>-2071363.807</v>
      </c>
      <c r="Y64" s="11">
        <f t="shared" si="56"/>
        <v>-2139813.997</v>
      </c>
      <c r="Z64" s="11">
        <f t="shared" si="56"/>
        <v>-2205966.697</v>
      </c>
      <c r="AA64" s="11">
        <f t="shared" si="56"/>
        <v>-2269707.032</v>
      </c>
      <c r="AB64" s="12">
        <f t="shared" ref="AB64:AB76" si="58">Sum(C64:O64)</f>
        <v>-10109664.06</v>
      </c>
      <c r="AC64" s="12">
        <f t="shared" ref="AC64:AC72" si="59">SUM(P64:AA64)</f>
        <v>-22551663.61</v>
      </c>
    </row>
    <row r="65" ht="27.75" customHeight="1">
      <c r="A65" s="47" t="s">
        <v>52</v>
      </c>
      <c r="B65" s="46"/>
      <c r="C65" s="11">
        <f>C38+C40+C41-C49</f>
        <v>-258082</v>
      </c>
      <c r="D65" s="11"/>
      <c r="E65" s="11">
        <f t="shared" ref="E65:AA65" si="57">E38+E40+E41-E49</f>
        <v>-96216.1</v>
      </c>
      <c r="F65" s="11">
        <f t="shared" si="57"/>
        <v>-95306.905</v>
      </c>
      <c r="G65" s="11">
        <f t="shared" si="57"/>
        <v>-94352.25025</v>
      </c>
      <c r="H65" s="11">
        <f t="shared" si="57"/>
        <v>-93349.86276</v>
      </c>
      <c r="I65" s="11">
        <f t="shared" si="57"/>
        <v>-92297.3559</v>
      </c>
      <c r="J65" s="11">
        <f t="shared" si="57"/>
        <v>-91192.2237</v>
      </c>
      <c r="K65" s="11">
        <f t="shared" si="57"/>
        <v>-90031.83488</v>
      </c>
      <c r="L65" s="11">
        <f t="shared" si="57"/>
        <v>-88813.42662</v>
      </c>
      <c r="M65" s="11">
        <f t="shared" si="57"/>
        <v>-87534.09796</v>
      </c>
      <c r="N65" s="11">
        <f t="shared" si="57"/>
        <v>-86190.80285</v>
      </c>
      <c r="O65" s="11">
        <f t="shared" si="57"/>
        <v>-84780.343</v>
      </c>
      <c r="P65" s="11">
        <f t="shared" si="57"/>
        <v>-83299.36015</v>
      </c>
      <c r="Q65" s="11">
        <f t="shared" si="57"/>
        <v>-81744.32815</v>
      </c>
      <c r="R65" s="11">
        <f t="shared" si="57"/>
        <v>-80111.54456</v>
      </c>
      <c r="S65" s="11">
        <f t="shared" si="57"/>
        <v>-78397.12179</v>
      </c>
      <c r="T65" s="11">
        <f t="shared" si="57"/>
        <v>-76596.97788</v>
      </c>
      <c r="U65" s="11">
        <f t="shared" si="57"/>
        <v>-74706.82677</v>
      </c>
      <c r="V65" s="11">
        <f t="shared" si="57"/>
        <v>-72722.16811</v>
      </c>
      <c r="W65" s="11">
        <f t="shared" si="57"/>
        <v>-70638.27652</v>
      </c>
      <c r="X65" s="11">
        <f t="shared" si="57"/>
        <v>-68450.19034</v>
      </c>
      <c r="Y65" s="11">
        <f t="shared" si="57"/>
        <v>-66152.69986</v>
      </c>
      <c r="Z65" s="11">
        <f t="shared" si="57"/>
        <v>-63740.33485</v>
      </c>
      <c r="AA65" s="11">
        <f t="shared" si="57"/>
        <v>-61207.3516</v>
      </c>
      <c r="AB65" s="12">
        <f t="shared" si="58"/>
        <v>-1258147.203</v>
      </c>
      <c r="AC65" s="12">
        <f t="shared" si="59"/>
        <v>-877767.1806</v>
      </c>
    </row>
    <row r="66" ht="27.75" customHeight="1">
      <c r="A66" s="48" t="s">
        <v>53</v>
      </c>
      <c r="B66" s="46"/>
      <c r="C66" s="11">
        <f>Sum(C67:C71)</f>
        <v>-295000</v>
      </c>
      <c r="D66" s="11"/>
      <c r="E66" s="11">
        <f t="shared" ref="E66:AA66" si="60">Sum(E67:E71)</f>
        <v>0</v>
      </c>
      <c r="F66" s="11">
        <f t="shared" si="60"/>
        <v>0</v>
      </c>
      <c r="G66" s="11">
        <f t="shared" si="60"/>
        <v>0</v>
      </c>
      <c r="H66" s="11">
        <f t="shared" si="60"/>
        <v>0</v>
      </c>
      <c r="I66" s="11">
        <f t="shared" si="60"/>
        <v>0</v>
      </c>
      <c r="J66" s="11">
        <f t="shared" si="60"/>
        <v>0</v>
      </c>
      <c r="K66" s="11">
        <f t="shared" si="60"/>
        <v>0</v>
      </c>
      <c r="L66" s="11">
        <f t="shared" si="60"/>
        <v>0</v>
      </c>
      <c r="M66" s="11">
        <f t="shared" si="60"/>
        <v>0</v>
      </c>
      <c r="N66" s="11">
        <f t="shared" si="60"/>
        <v>0</v>
      </c>
      <c r="O66" s="11">
        <f t="shared" si="60"/>
        <v>0</v>
      </c>
      <c r="P66" s="11">
        <f t="shared" si="60"/>
        <v>0</v>
      </c>
      <c r="Q66" s="11">
        <f t="shared" si="60"/>
        <v>0</v>
      </c>
      <c r="R66" s="11">
        <f t="shared" si="60"/>
        <v>0</v>
      </c>
      <c r="S66" s="11">
        <f t="shared" si="60"/>
        <v>0</v>
      </c>
      <c r="T66" s="11">
        <f t="shared" si="60"/>
        <v>0</v>
      </c>
      <c r="U66" s="11">
        <f t="shared" si="60"/>
        <v>0</v>
      </c>
      <c r="V66" s="11">
        <f t="shared" si="60"/>
        <v>0</v>
      </c>
      <c r="W66" s="11">
        <f t="shared" si="60"/>
        <v>0</v>
      </c>
      <c r="X66" s="11">
        <f t="shared" si="60"/>
        <v>0</v>
      </c>
      <c r="Y66" s="11">
        <f t="shared" si="60"/>
        <v>0</v>
      </c>
      <c r="Z66" s="11">
        <f t="shared" si="60"/>
        <v>0</v>
      </c>
      <c r="AA66" s="11">
        <f t="shared" si="60"/>
        <v>0</v>
      </c>
      <c r="AB66" s="12">
        <f t="shared" si="58"/>
        <v>-295000</v>
      </c>
      <c r="AC66" s="12">
        <f t="shared" si="59"/>
        <v>0</v>
      </c>
    </row>
    <row r="67" ht="12.75" customHeight="1">
      <c r="A67" s="49" t="s">
        <v>54</v>
      </c>
      <c r="B67" s="31"/>
      <c r="C67" s="50">
        <v>-100000.0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AB67" s="16">
        <f t="shared" si="58"/>
        <v>-100000</v>
      </c>
      <c r="AC67" s="16">
        <f t="shared" si="59"/>
        <v>0</v>
      </c>
    </row>
    <row r="68" ht="12.75" customHeight="1">
      <c r="A68" s="49" t="s">
        <v>55</v>
      </c>
      <c r="B68" s="31"/>
      <c r="C68" s="50">
        <v>-50000.0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AB68" s="16">
        <f t="shared" si="58"/>
        <v>-50000</v>
      </c>
      <c r="AC68" s="16">
        <f t="shared" si="59"/>
        <v>0</v>
      </c>
    </row>
    <row r="69" ht="12.75" customHeight="1">
      <c r="A69" s="49" t="s">
        <v>56</v>
      </c>
      <c r="B69" s="31"/>
      <c r="C69" s="50">
        <v>-40000.0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AB69" s="16">
        <f t="shared" si="58"/>
        <v>-40000</v>
      </c>
      <c r="AC69" s="16">
        <f t="shared" si="59"/>
        <v>0</v>
      </c>
    </row>
    <row r="70" ht="12.75" customHeight="1">
      <c r="A70" s="49" t="s">
        <v>57</v>
      </c>
      <c r="B70" s="31"/>
      <c r="C70" s="50">
        <v>-100000.0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AB70" s="16">
        <f t="shared" si="58"/>
        <v>-100000</v>
      </c>
      <c r="AC70" s="16">
        <f t="shared" si="59"/>
        <v>0</v>
      </c>
    </row>
    <row r="71" ht="12.75" customHeight="1">
      <c r="A71" s="49" t="s">
        <v>19</v>
      </c>
      <c r="B71" s="31"/>
      <c r="C71" s="50">
        <v>-5000.0</v>
      </c>
      <c r="D71" s="15"/>
      <c r="E71" s="15"/>
      <c r="F71" s="15"/>
      <c r="G71" s="15"/>
      <c r="H71" s="15"/>
      <c r="I71" s="15"/>
      <c r="J71" s="15"/>
      <c r="K71" s="15"/>
      <c r="L71" s="15"/>
      <c r="M71" s="50"/>
      <c r="N71" s="50"/>
      <c r="O71" s="50"/>
      <c r="P71" s="50"/>
      <c r="Q71" s="50"/>
      <c r="R71" s="50"/>
      <c r="S71" s="50"/>
      <c r="T71" s="50"/>
      <c r="U71" s="50"/>
      <c r="AB71" s="16">
        <f t="shared" si="58"/>
        <v>-5000</v>
      </c>
      <c r="AC71" s="16">
        <f t="shared" si="59"/>
        <v>0</v>
      </c>
    </row>
    <row r="72" ht="17.25" customHeight="1">
      <c r="A72" s="47" t="s">
        <v>58</v>
      </c>
      <c r="B72" s="46"/>
      <c r="C72" s="51">
        <f>SUM(C73:C74)</f>
        <v>100000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2"/>
      <c r="W72" s="52"/>
      <c r="X72" s="52"/>
      <c r="Y72" s="52"/>
      <c r="Z72" s="52"/>
      <c r="AA72" s="52"/>
      <c r="AB72" s="12">
        <f t="shared" si="58"/>
        <v>100000</v>
      </c>
      <c r="AC72" s="12">
        <f t="shared" si="59"/>
        <v>0</v>
      </c>
    </row>
    <row r="73" ht="12.75" customHeight="1">
      <c r="A73" s="49" t="s">
        <v>59</v>
      </c>
      <c r="B73" s="31"/>
      <c r="C73" s="50">
        <v>50000.0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AB73" s="16">
        <f t="shared" si="58"/>
        <v>50000</v>
      </c>
      <c r="AC73" s="16">
        <f t="shared" ref="AC73:AC74" si="61">Sum(E73:P73)</f>
        <v>0</v>
      </c>
    </row>
    <row r="74" ht="15.0" customHeight="1">
      <c r="A74" s="49" t="s">
        <v>60</v>
      </c>
      <c r="B74" s="6"/>
      <c r="C74" s="50">
        <v>50000.0</v>
      </c>
      <c r="D74" s="50"/>
      <c r="E74" s="50"/>
      <c r="F74" s="50"/>
      <c r="G74" s="50"/>
      <c r="H74" s="50"/>
      <c r="I74" s="50"/>
      <c r="J74" s="50"/>
      <c r="K74" s="50"/>
      <c r="L74" s="50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16">
        <f t="shared" si="58"/>
        <v>50000</v>
      </c>
      <c r="AC74" s="16">
        <f t="shared" si="61"/>
        <v>0</v>
      </c>
    </row>
    <row r="75" ht="28.5" customHeight="1">
      <c r="A75" s="53" t="s">
        <v>61</v>
      </c>
      <c r="B75" s="54"/>
      <c r="C75" s="55">
        <f>SUM(C65,C72,C66)</f>
        <v>-453082</v>
      </c>
      <c r="D75" s="55"/>
      <c r="E75" s="55">
        <f t="shared" ref="E75:AA75" si="62">SUM(E65,E72,E66)</f>
        <v>-96216.1</v>
      </c>
      <c r="F75" s="55">
        <f t="shared" si="62"/>
        <v>-95306.905</v>
      </c>
      <c r="G75" s="55">
        <f t="shared" si="62"/>
        <v>-94352.25025</v>
      </c>
      <c r="H75" s="55">
        <f t="shared" si="62"/>
        <v>-93349.86276</v>
      </c>
      <c r="I75" s="55">
        <f t="shared" si="62"/>
        <v>-92297.3559</v>
      </c>
      <c r="J75" s="55">
        <f t="shared" si="62"/>
        <v>-91192.2237</v>
      </c>
      <c r="K75" s="55">
        <f t="shared" si="62"/>
        <v>-90031.83488</v>
      </c>
      <c r="L75" s="55">
        <f t="shared" si="62"/>
        <v>-88813.42662</v>
      </c>
      <c r="M75" s="55">
        <f t="shared" si="62"/>
        <v>-87534.09796</v>
      </c>
      <c r="N75" s="55">
        <f t="shared" si="62"/>
        <v>-86190.80285</v>
      </c>
      <c r="O75" s="55">
        <f t="shared" si="62"/>
        <v>-84780.343</v>
      </c>
      <c r="P75" s="55">
        <f t="shared" si="62"/>
        <v>-83299.36015</v>
      </c>
      <c r="Q75" s="55">
        <f t="shared" si="62"/>
        <v>-81744.32815</v>
      </c>
      <c r="R75" s="55">
        <f t="shared" si="62"/>
        <v>-80111.54456</v>
      </c>
      <c r="S75" s="55">
        <f t="shared" si="62"/>
        <v>-78397.12179</v>
      </c>
      <c r="T75" s="55">
        <f t="shared" si="62"/>
        <v>-76596.97788</v>
      </c>
      <c r="U75" s="55">
        <f t="shared" si="62"/>
        <v>-74706.82677</v>
      </c>
      <c r="V75" s="55">
        <f t="shared" si="62"/>
        <v>-72722.16811</v>
      </c>
      <c r="W75" s="55">
        <f t="shared" si="62"/>
        <v>-70638.27652</v>
      </c>
      <c r="X75" s="55">
        <f t="shared" si="62"/>
        <v>-68450.19034</v>
      </c>
      <c r="Y75" s="55">
        <f t="shared" si="62"/>
        <v>-66152.69986</v>
      </c>
      <c r="Z75" s="55">
        <f t="shared" si="62"/>
        <v>-63740.33485</v>
      </c>
      <c r="AA75" s="55">
        <f t="shared" si="62"/>
        <v>-61207.3516</v>
      </c>
      <c r="AB75" s="8">
        <f t="shared" si="58"/>
        <v>-1453147.203</v>
      </c>
      <c r="AC75" s="8">
        <f t="shared" ref="AC75:AC76" si="64">Sum(P75:AA75)</f>
        <v>-877767.1806</v>
      </c>
    </row>
    <row r="76" ht="12.75" customHeight="1">
      <c r="A76" s="56" t="s">
        <v>62</v>
      </c>
      <c r="B76" s="64">
        <v>0.0</v>
      </c>
      <c r="C76" s="11">
        <f>C64+C75</f>
        <v>-453082</v>
      </c>
      <c r="D76" s="11"/>
      <c r="E76" s="11">
        <f t="shared" ref="E76:AA76" si="63">E64+E75</f>
        <v>-549298.1</v>
      </c>
      <c r="F76" s="11">
        <f t="shared" si="63"/>
        <v>-644605.005</v>
      </c>
      <c r="G76" s="11">
        <f t="shared" si="63"/>
        <v>-738957.2553</v>
      </c>
      <c r="H76" s="11">
        <f t="shared" si="63"/>
        <v>-832307.118</v>
      </c>
      <c r="I76" s="11">
        <f t="shared" si="63"/>
        <v>-924604.4739</v>
      </c>
      <c r="J76" s="11">
        <f t="shared" si="63"/>
        <v>-1015796.698</v>
      </c>
      <c r="K76" s="11">
        <f t="shared" si="63"/>
        <v>-1105828.532</v>
      </c>
      <c r="L76" s="11">
        <f t="shared" si="63"/>
        <v>-1194641.959</v>
      </c>
      <c r="M76" s="11">
        <f t="shared" si="63"/>
        <v>-1282176.057</v>
      </c>
      <c r="N76" s="11">
        <f t="shared" si="63"/>
        <v>-1368366.86</v>
      </c>
      <c r="O76" s="11">
        <f t="shared" si="63"/>
        <v>-1453147.203</v>
      </c>
      <c r="P76" s="11">
        <f t="shared" si="63"/>
        <v>-1536446.563</v>
      </c>
      <c r="Q76" s="11">
        <f t="shared" si="63"/>
        <v>-1618190.891</v>
      </c>
      <c r="R76" s="11">
        <f t="shared" si="63"/>
        <v>-1698302.436</v>
      </c>
      <c r="S76" s="11">
        <f t="shared" si="63"/>
        <v>-1776699.558</v>
      </c>
      <c r="T76" s="11">
        <f t="shared" si="63"/>
        <v>-1853296.535</v>
      </c>
      <c r="U76" s="11">
        <f t="shared" si="63"/>
        <v>-1928003.362</v>
      </c>
      <c r="V76" s="11">
        <f t="shared" si="63"/>
        <v>-2000725.53</v>
      </c>
      <c r="W76" s="11">
        <f t="shared" si="63"/>
        <v>-2071363.807</v>
      </c>
      <c r="X76" s="11">
        <f t="shared" si="63"/>
        <v>-2139813.997</v>
      </c>
      <c r="Y76" s="11">
        <f t="shared" si="63"/>
        <v>-2205966.697</v>
      </c>
      <c r="Z76" s="11">
        <f t="shared" si="63"/>
        <v>-2269707.032</v>
      </c>
      <c r="AA76" s="11">
        <f t="shared" si="63"/>
        <v>-2330914.383</v>
      </c>
      <c r="AB76" s="8">
        <f t="shared" si="58"/>
        <v>-11562811.26</v>
      </c>
      <c r="AC76" s="8">
        <f t="shared" si="64"/>
        <v>-23429430.79</v>
      </c>
    </row>
    <row r="77" ht="12.75" customHeight="1">
      <c r="A77" s="37"/>
      <c r="B77" s="4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AB77" s="36"/>
      <c r="AC77" s="36"/>
    </row>
    <row r="78" ht="12.75" customHeight="1">
      <c r="A78" s="37"/>
      <c r="B78" s="41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AB78" s="36"/>
      <c r="AC78" s="36"/>
    </row>
    <row r="79" ht="12.75" customHeight="1">
      <c r="A79" s="37"/>
      <c r="B79" s="41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AB79" s="36"/>
      <c r="AC79" s="36"/>
    </row>
    <row r="80" ht="12.75" customHeight="1">
      <c r="A80" s="37"/>
      <c r="B80" s="41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AB80" s="36"/>
      <c r="AC80" s="36"/>
    </row>
    <row r="81" ht="12.75" customHeight="1">
      <c r="A81" s="37"/>
      <c r="B81" s="41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AB81" s="36"/>
      <c r="AC81" s="36"/>
    </row>
    <row r="82" ht="12.75" customHeight="1">
      <c r="A82" s="37"/>
      <c r="B82" s="41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AB82" s="36"/>
      <c r="AC82" s="36"/>
    </row>
    <row r="83" ht="12.75" customHeight="1">
      <c r="A83" s="37"/>
      <c r="B83" s="41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AB83" s="36"/>
      <c r="AC83" s="36"/>
    </row>
    <row r="84" ht="12.75" customHeight="1">
      <c r="A84" s="37"/>
      <c r="B84" s="41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AB84" s="36"/>
      <c r="AC84" s="36"/>
    </row>
    <row r="85" ht="12.75" customHeight="1">
      <c r="A85" s="37"/>
      <c r="B85" s="41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AB85" s="36"/>
      <c r="AC85" s="36"/>
    </row>
    <row r="86" ht="12.75" customHeight="1">
      <c r="A86" s="37"/>
      <c r="B86" s="41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AB86" s="36"/>
      <c r="AC86" s="36"/>
    </row>
    <row r="87" ht="12.75" customHeight="1">
      <c r="A87" s="37"/>
      <c r="B87" s="41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AB87" s="36"/>
      <c r="AC87" s="36"/>
    </row>
    <row r="88" ht="12.75" customHeight="1">
      <c r="A88" s="37"/>
      <c r="B88" s="41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AB88" s="36"/>
      <c r="AC88" s="36"/>
    </row>
    <row r="89" ht="12.75" customHeight="1">
      <c r="A89" s="37"/>
      <c r="B89" s="41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AB89" s="36"/>
      <c r="AC89" s="36"/>
    </row>
    <row r="90" ht="12.75" customHeight="1">
      <c r="A90" s="37"/>
      <c r="B90" s="41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AB90" s="36"/>
      <c r="AC90" s="36"/>
    </row>
    <row r="91" ht="12.75" customHeight="1">
      <c r="A91" s="37"/>
      <c r="B91" s="41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AB91" s="36"/>
      <c r="AC91" s="36"/>
    </row>
    <row r="92" ht="12.75" customHeight="1">
      <c r="A92" s="37"/>
      <c r="B92" s="41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AB92" s="36"/>
      <c r="AC92" s="36"/>
    </row>
    <row r="93" ht="12.75" customHeight="1">
      <c r="A93" s="37"/>
      <c r="B93" s="41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AB93" s="36"/>
      <c r="AC93" s="36"/>
    </row>
    <row r="94" ht="12.75" customHeight="1">
      <c r="A94" s="37"/>
      <c r="B94" s="41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AB94" s="36"/>
      <c r="AC94" s="36"/>
    </row>
    <row r="95" ht="12.75" customHeight="1">
      <c r="A95" s="37"/>
      <c r="B95" s="41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AB95" s="36"/>
      <c r="AC95" s="36"/>
    </row>
    <row r="96" ht="12.75" customHeight="1">
      <c r="A96" s="37"/>
      <c r="B96" s="41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AB96" s="36"/>
      <c r="AC96" s="36"/>
    </row>
    <row r="97" ht="12.75" customHeight="1">
      <c r="A97" s="37"/>
      <c r="B97" s="41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AB97" s="36"/>
      <c r="AC97" s="36"/>
    </row>
    <row r="98" ht="12.75" customHeight="1">
      <c r="A98" s="37"/>
      <c r="B98" s="41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AB98" s="36"/>
      <c r="AC98" s="36"/>
    </row>
    <row r="99" ht="12.75" customHeight="1">
      <c r="A99" s="37"/>
      <c r="B99" s="41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AB99" s="36"/>
      <c r="AC99" s="36"/>
    </row>
    <row r="100" ht="12.75" customHeight="1">
      <c r="A100" s="37"/>
      <c r="B100" s="41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AB100" s="36"/>
      <c r="AC100" s="36"/>
    </row>
    <row r="101" ht="12.75" customHeight="1">
      <c r="A101" s="37"/>
      <c r="B101" s="41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AB101" s="36"/>
      <c r="AC101" s="36"/>
    </row>
    <row r="102" ht="12.75" customHeight="1">
      <c r="A102" s="37"/>
      <c r="B102" s="41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AB102" s="36"/>
      <c r="AC102" s="36"/>
    </row>
    <row r="103" ht="12.75" customHeight="1">
      <c r="A103" s="37"/>
      <c r="B103" s="41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AB103" s="36"/>
      <c r="AC103" s="36"/>
    </row>
    <row r="104" ht="12.75" customHeight="1">
      <c r="A104" s="37"/>
      <c r="B104" s="41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AB104" s="36"/>
      <c r="AC104" s="36"/>
    </row>
    <row r="105" ht="12.75" customHeight="1">
      <c r="A105" s="37"/>
      <c r="B105" s="41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AB105" s="36"/>
      <c r="AC105" s="36"/>
    </row>
    <row r="106" ht="12.75" customHeight="1">
      <c r="A106" s="37"/>
      <c r="B106" s="41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AB106" s="36"/>
      <c r="AC106" s="36"/>
    </row>
    <row r="107" ht="12.75" customHeight="1">
      <c r="A107" s="37"/>
      <c r="B107" s="41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AB107" s="36"/>
      <c r="AC107" s="36"/>
    </row>
    <row r="108" ht="12.75" customHeight="1">
      <c r="A108" s="37"/>
      <c r="B108" s="41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AB108" s="36"/>
      <c r="AC108" s="36"/>
    </row>
    <row r="109" ht="12.75" customHeight="1">
      <c r="A109" s="37"/>
      <c r="B109" s="41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AB109" s="36"/>
      <c r="AC109" s="36"/>
    </row>
    <row r="110" ht="12.75" customHeight="1">
      <c r="A110" s="37"/>
      <c r="B110" s="41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AB110" s="36"/>
      <c r="AC110" s="36"/>
    </row>
    <row r="111" ht="12.75" customHeight="1">
      <c r="A111" s="37"/>
      <c r="B111" s="41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AB111" s="36"/>
      <c r="AC111" s="36"/>
    </row>
    <row r="112" ht="12.75" customHeight="1">
      <c r="A112" s="37"/>
      <c r="B112" s="41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AB112" s="36"/>
      <c r="AC112" s="36"/>
    </row>
    <row r="113" ht="12.75" customHeight="1">
      <c r="A113" s="37"/>
      <c r="B113" s="41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AB113" s="36"/>
      <c r="AC113" s="36"/>
    </row>
    <row r="114" ht="12.75" customHeight="1">
      <c r="A114" s="37"/>
      <c r="B114" s="41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AB114" s="36"/>
      <c r="AC114" s="36"/>
    </row>
    <row r="115" ht="12.75" customHeight="1">
      <c r="A115" s="37"/>
      <c r="B115" s="41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AB115" s="36"/>
      <c r="AC115" s="36"/>
    </row>
    <row r="116" ht="12.75" customHeight="1">
      <c r="A116" s="37"/>
      <c r="B116" s="41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AB116" s="36"/>
      <c r="AC116" s="36"/>
    </row>
    <row r="117" ht="12.75" customHeight="1">
      <c r="A117" s="37"/>
      <c r="B117" s="41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AB117" s="36"/>
      <c r="AC117" s="36"/>
    </row>
    <row r="118" ht="12.75" customHeight="1">
      <c r="A118" s="37"/>
      <c r="B118" s="41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AB118" s="36"/>
      <c r="AC118" s="36"/>
    </row>
    <row r="119" ht="12.75" customHeight="1">
      <c r="A119" s="37"/>
      <c r="B119" s="41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AB119" s="36"/>
      <c r="AC119" s="36"/>
    </row>
    <row r="120" ht="12.75" customHeight="1">
      <c r="A120" s="37"/>
      <c r="B120" s="41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AB120" s="36"/>
      <c r="AC120" s="36"/>
    </row>
    <row r="121" ht="12.75" customHeight="1">
      <c r="A121" s="37"/>
      <c r="B121" s="41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AB121" s="36"/>
      <c r="AC121" s="36"/>
    </row>
    <row r="122" ht="12.75" customHeight="1">
      <c r="A122" s="37"/>
      <c r="B122" s="41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AB122" s="36"/>
      <c r="AC122" s="36"/>
    </row>
    <row r="123" ht="12.75" customHeight="1">
      <c r="A123" s="37"/>
      <c r="B123" s="41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AB123" s="36"/>
      <c r="AC123" s="36"/>
    </row>
    <row r="124" ht="12.75" customHeight="1">
      <c r="A124" s="37"/>
      <c r="B124" s="41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AB124" s="36"/>
      <c r="AC124" s="36"/>
    </row>
    <row r="125" ht="12.75" customHeight="1">
      <c r="A125" s="37"/>
      <c r="B125" s="41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AB125" s="36"/>
      <c r="AC125" s="36"/>
    </row>
    <row r="126" ht="12.75" customHeight="1">
      <c r="A126" s="37"/>
      <c r="B126" s="41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AB126" s="36"/>
      <c r="AC126" s="36"/>
    </row>
    <row r="127" ht="12.75" customHeight="1">
      <c r="A127" s="37"/>
      <c r="B127" s="41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AB127" s="36"/>
      <c r="AC127" s="36"/>
    </row>
    <row r="128" ht="12.75" customHeight="1">
      <c r="A128" s="37"/>
      <c r="B128" s="41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AB128" s="36"/>
      <c r="AC128" s="36"/>
    </row>
    <row r="129" ht="12.75" customHeight="1">
      <c r="A129" s="37"/>
      <c r="B129" s="41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AB129" s="36"/>
      <c r="AC129" s="36"/>
    </row>
    <row r="130" ht="12.75" customHeight="1">
      <c r="A130" s="37"/>
      <c r="B130" s="41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AB130" s="36"/>
      <c r="AC130" s="36"/>
    </row>
    <row r="131" ht="12.75" customHeight="1">
      <c r="A131" s="37"/>
      <c r="B131" s="41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AB131" s="36"/>
      <c r="AC131" s="36"/>
    </row>
    <row r="132" ht="12.75" customHeight="1">
      <c r="A132" s="37"/>
      <c r="B132" s="41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AB132" s="36"/>
      <c r="AC132" s="36"/>
    </row>
    <row r="133" ht="12.75" customHeight="1">
      <c r="A133" s="37"/>
      <c r="B133" s="41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AB133" s="36"/>
      <c r="AC133" s="36"/>
    </row>
    <row r="134" ht="12.75" customHeight="1">
      <c r="A134" s="37"/>
      <c r="B134" s="41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AB134" s="36"/>
      <c r="AC134" s="36"/>
    </row>
    <row r="135" ht="12.75" customHeight="1">
      <c r="A135" s="37"/>
      <c r="B135" s="41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AB135" s="36"/>
      <c r="AC135" s="36"/>
    </row>
    <row r="136" ht="12.75" customHeight="1">
      <c r="A136" s="37"/>
      <c r="B136" s="41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AB136" s="36"/>
      <c r="AC136" s="36"/>
    </row>
    <row r="137" ht="12.75" customHeight="1">
      <c r="A137" s="37"/>
      <c r="B137" s="41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AB137" s="36"/>
      <c r="AC137" s="36"/>
    </row>
    <row r="138" ht="12.75" customHeight="1">
      <c r="A138" s="37"/>
      <c r="B138" s="41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AB138" s="36"/>
      <c r="AC138" s="36"/>
    </row>
    <row r="139" ht="12.75" customHeight="1">
      <c r="A139" s="37"/>
      <c r="B139" s="41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AB139" s="36"/>
      <c r="AC139" s="36"/>
    </row>
    <row r="140" ht="12.75" customHeight="1">
      <c r="A140" s="37"/>
      <c r="B140" s="41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AB140" s="36"/>
      <c r="AC140" s="36"/>
    </row>
    <row r="141" ht="12.75" customHeight="1">
      <c r="A141" s="37"/>
      <c r="B141" s="41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AB141" s="36"/>
      <c r="AC141" s="36"/>
    </row>
    <row r="142" ht="12.75" customHeight="1">
      <c r="A142" s="37"/>
      <c r="B142" s="41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AB142" s="36"/>
      <c r="AC142" s="36"/>
    </row>
    <row r="143" ht="12.75" customHeight="1">
      <c r="A143" s="37"/>
      <c r="B143" s="41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AB143" s="36"/>
      <c r="AC143" s="36"/>
    </row>
    <row r="144" ht="12.75" customHeight="1">
      <c r="A144" s="37"/>
      <c r="B144" s="41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AB144" s="36"/>
      <c r="AC144" s="36"/>
    </row>
    <row r="145" ht="12.75" customHeight="1">
      <c r="A145" s="37"/>
      <c r="B145" s="41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AB145" s="36"/>
      <c r="AC145" s="36"/>
    </row>
    <row r="146" ht="12.75" customHeight="1">
      <c r="A146" s="37"/>
      <c r="B146" s="41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AB146" s="36"/>
      <c r="AC146" s="36"/>
    </row>
    <row r="147" ht="12.75" customHeight="1">
      <c r="A147" s="37"/>
      <c r="B147" s="41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AB147" s="36"/>
      <c r="AC147" s="36"/>
    </row>
    <row r="148" ht="12.75" customHeight="1">
      <c r="A148" s="37"/>
      <c r="B148" s="41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AB148" s="36"/>
      <c r="AC148" s="36"/>
    </row>
    <row r="149" ht="12.75" customHeight="1">
      <c r="A149" s="37"/>
      <c r="B149" s="41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AB149" s="36"/>
      <c r="AC149" s="36"/>
    </row>
    <row r="150" ht="12.75" customHeight="1">
      <c r="A150" s="37"/>
      <c r="B150" s="41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AB150" s="36"/>
      <c r="AC150" s="36"/>
    </row>
    <row r="151" ht="12.75" customHeight="1">
      <c r="A151" s="37"/>
      <c r="B151" s="41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AB151" s="36"/>
      <c r="AC151" s="36"/>
    </row>
    <row r="152" ht="12.75" customHeight="1">
      <c r="A152" s="37"/>
      <c r="B152" s="41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AB152" s="36"/>
      <c r="AC152" s="36"/>
    </row>
    <row r="153" ht="12.75" customHeight="1">
      <c r="A153" s="37"/>
      <c r="B153" s="41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AB153" s="36"/>
      <c r="AC153" s="36"/>
    </row>
    <row r="154" ht="12.75" customHeight="1">
      <c r="A154" s="37"/>
      <c r="B154" s="41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AB154" s="36"/>
      <c r="AC154" s="36"/>
    </row>
    <row r="155" ht="12.75" customHeight="1">
      <c r="A155" s="37"/>
      <c r="B155" s="41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AB155" s="36"/>
      <c r="AC155" s="36"/>
    </row>
    <row r="156" ht="12.75" customHeight="1">
      <c r="A156" s="37"/>
      <c r="B156" s="41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AB156" s="36"/>
      <c r="AC156" s="36"/>
    </row>
    <row r="157" ht="12.75" customHeight="1">
      <c r="A157" s="37"/>
      <c r="B157" s="41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AB157" s="36"/>
      <c r="AC157" s="36"/>
    </row>
    <row r="158" ht="12.75" customHeight="1">
      <c r="A158" s="37"/>
      <c r="B158" s="41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AB158" s="36"/>
      <c r="AC158" s="36"/>
    </row>
    <row r="159" ht="12.75" customHeight="1">
      <c r="A159" s="37"/>
      <c r="B159" s="41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AB159" s="36"/>
      <c r="AC159" s="36"/>
    </row>
    <row r="160" ht="12.75" customHeight="1">
      <c r="A160" s="37"/>
      <c r="B160" s="41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AB160" s="36"/>
      <c r="AC160" s="36"/>
    </row>
    <row r="161" ht="12.75" customHeight="1">
      <c r="A161" s="37"/>
      <c r="B161" s="41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AB161" s="36"/>
      <c r="AC161" s="36"/>
    </row>
    <row r="162" ht="12.75" customHeight="1">
      <c r="A162" s="37"/>
      <c r="B162" s="41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AB162" s="36"/>
      <c r="AC162" s="36"/>
    </row>
    <row r="163" ht="12.75" customHeight="1">
      <c r="A163" s="37"/>
      <c r="B163" s="41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AB163" s="36"/>
      <c r="AC163" s="36"/>
    </row>
    <row r="164" ht="12.75" customHeight="1">
      <c r="A164" s="37"/>
      <c r="B164" s="41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AB164" s="36"/>
      <c r="AC164" s="36"/>
    </row>
    <row r="165" ht="12.75" customHeight="1">
      <c r="A165" s="37"/>
      <c r="B165" s="41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AB165" s="36"/>
      <c r="AC165" s="36"/>
    </row>
    <row r="166" ht="12.75" customHeight="1">
      <c r="A166" s="37"/>
      <c r="B166" s="41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AB166" s="36"/>
      <c r="AC166" s="36"/>
    </row>
    <row r="167" ht="12.75" customHeight="1">
      <c r="A167" s="37"/>
      <c r="B167" s="41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AB167" s="36"/>
      <c r="AC167" s="36"/>
    </row>
    <row r="168" ht="12.75" customHeight="1">
      <c r="A168" s="37"/>
      <c r="B168" s="41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AB168" s="36"/>
      <c r="AC168" s="36"/>
    </row>
    <row r="169" ht="12.75" customHeight="1">
      <c r="A169" s="37"/>
      <c r="B169" s="41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AB169" s="36"/>
      <c r="AC169" s="36"/>
    </row>
    <row r="170" ht="12.75" customHeight="1">
      <c r="A170" s="37"/>
      <c r="B170" s="41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AB170" s="36"/>
      <c r="AC170" s="36"/>
    </row>
    <row r="171" ht="12.75" customHeight="1">
      <c r="A171" s="37"/>
      <c r="B171" s="41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AB171" s="36"/>
      <c r="AC171" s="36"/>
    </row>
    <row r="172" ht="12.75" customHeight="1">
      <c r="A172" s="37"/>
      <c r="B172" s="41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AB172" s="36"/>
      <c r="AC172" s="36"/>
    </row>
    <row r="173" ht="12.75" customHeight="1">
      <c r="A173" s="37"/>
      <c r="B173" s="41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AB173" s="36"/>
      <c r="AC173" s="36"/>
    </row>
    <row r="174" ht="12.75" customHeight="1">
      <c r="A174" s="37"/>
      <c r="B174" s="41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AB174" s="36"/>
      <c r="AC174" s="36"/>
    </row>
    <row r="175" ht="12.75" customHeight="1">
      <c r="A175" s="37"/>
      <c r="B175" s="41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AB175" s="36"/>
      <c r="AC175" s="36"/>
    </row>
    <row r="176" ht="12.75" customHeight="1">
      <c r="A176" s="37"/>
      <c r="B176" s="41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AB176" s="36"/>
      <c r="AC176" s="36"/>
    </row>
    <row r="177" ht="12.75" customHeight="1">
      <c r="A177" s="37"/>
      <c r="B177" s="41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AB177" s="36"/>
      <c r="AC177" s="36"/>
    </row>
    <row r="178" ht="12.75" customHeight="1">
      <c r="A178" s="37"/>
      <c r="B178" s="41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AB178" s="36"/>
      <c r="AC178" s="36"/>
    </row>
    <row r="179" ht="12.75" customHeight="1">
      <c r="A179" s="37"/>
      <c r="B179" s="41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AB179" s="36"/>
      <c r="AC179" s="36"/>
    </row>
    <row r="180" ht="12.75" customHeight="1">
      <c r="A180" s="37"/>
      <c r="B180" s="41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AB180" s="36"/>
      <c r="AC180" s="36"/>
    </row>
    <row r="181" ht="12.75" customHeight="1">
      <c r="A181" s="37"/>
      <c r="B181" s="41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AB181" s="36"/>
      <c r="AC181" s="36"/>
    </row>
    <row r="182" ht="12.75" customHeight="1">
      <c r="A182" s="37"/>
      <c r="B182" s="41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AB182" s="36"/>
      <c r="AC182" s="36"/>
    </row>
    <row r="183" ht="12.75" customHeight="1">
      <c r="A183" s="37"/>
      <c r="B183" s="41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AB183" s="36"/>
      <c r="AC183" s="36"/>
    </row>
    <row r="184" ht="12.75" customHeight="1">
      <c r="A184" s="37"/>
      <c r="B184" s="41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AB184" s="36"/>
      <c r="AC184" s="36"/>
    </row>
    <row r="185" ht="12.75" customHeight="1">
      <c r="A185" s="37"/>
      <c r="B185" s="41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AB185" s="36"/>
      <c r="AC185" s="36"/>
    </row>
    <row r="186" ht="12.75" customHeight="1">
      <c r="A186" s="37"/>
      <c r="B186" s="41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AB186" s="36"/>
      <c r="AC186" s="36"/>
    </row>
    <row r="187" ht="12.75" customHeight="1">
      <c r="A187" s="37"/>
      <c r="B187" s="41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AB187" s="36"/>
      <c r="AC187" s="36"/>
    </row>
    <row r="188" ht="12.75" customHeight="1">
      <c r="A188" s="37"/>
      <c r="B188" s="41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AB188" s="36"/>
      <c r="AC188" s="36"/>
    </row>
    <row r="189" ht="12.75" customHeight="1">
      <c r="A189" s="37"/>
      <c r="B189" s="41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AB189" s="36"/>
      <c r="AC189" s="36"/>
    </row>
    <row r="190" ht="12.75" customHeight="1">
      <c r="A190" s="37"/>
      <c r="B190" s="41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AB190" s="36"/>
      <c r="AC190" s="36"/>
    </row>
    <row r="191" ht="12.75" customHeight="1">
      <c r="A191" s="37"/>
      <c r="B191" s="41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AB191" s="36"/>
      <c r="AC191" s="36"/>
    </row>
    <row r="192" ht="12.75" customHeight="1">
      <c r="A192" s="37"/>
      <c r="B192" s="41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AB192" s="36"/>
      <c r="AC192" s="36"/>
    </row>
    <row r="193" ht="12.75" customHeight="1">
      <c r="A193" s="37"/>
      <c r="B193" s="41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AB193" s="36"/>
      <c r="AC193" s="36"/>
    </row>
    <row r="194" ht="12.75" customHeight="1">
      <c r="A194" s="37"/>
      <c r="B194" s="41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AB194" s="36"/>
      <c r="AC194" s="36"/>
    </row>
    <row r="195" ht="12.75" customHeight="1">
      <c r="A195" s="37"/>
      <c r="B195" s="41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AB195" s="36"/>
      <c r="AC195" s="36"/>
    </row>
    <row r="196" ht="12.75" customHeight="1">
      <c r="A196" s="37"/>
      <c r="B196" s="41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AB196" s="36"/>
      <c r="AC196" s="36"/>
    </row>
    <row r="197" ht="12.75" customHeight="1">
      <c r="A197" s="37"/>
      <c r="B197" s="41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AB197" s="36"/>
      <c r="AC197" s="36"/>
    </row>
    <row r="198" ht="12.75" customHeight="1">
      <c r="A198" s="37"/>
      <c r="B198" s="41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AB198" s="36"/>
      <c r="AC198" s="36"/>
    </row>
    <row r="199" ht="12.75" customHeight="1">
      <c r="A199" s="37"/>
      <c r="B199" s="41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AB199" s="36"/>
      <c r="AC199" s="36"/>
    </row>
    <row r="200" ht="12.75" customHeight="1">
      <c r="A200" s="37"/>
      <c r="B200" s="41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AB200" s="36"/>
      <c r="AC200" s="36"/>
    </row>
    <row r="201" ht="12.75" customHeight="1">
      <c r="A201" s="37"/>
      <c r="B201" s="41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AB201" s="36"/>
      <c r="AC201" s="36"/>
    </row>
    <row r="202" ht="12.75" customHeight="1">
      <c r="A202" s="37"/>
      <c r="B202" s="41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AB202" s="36"/>
      <c r="AC202" s="36"/>
    </row>
    <row r="203" ht="12.75" customHeight="1">
      <c r="A203" s="37"/>
      <c r="B203" s="41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AB203" s="36"/>
      <c r="AC203" s="36"/>
    </row>
    <row r="204" ht="12.75" customHeight="1">
      <c r="A204" s="37"/>
      <c r="B204" s="41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AB204" s="36"/>
      <c r="AC204" s="36"/>
    </row>
    <row r="205" ht="12.75" customHeight="1">
      <c r="A205" s="37"/>
      <c r="B205" s="41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AB205" s="36"/>
      <c r="AC205" s="36"/>
    </row>
    <row r="206" ht="12.75" customHeight="1">
      <c r="A206" s="37"/>
      <c r="B206" s="41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AB206" s="36"/>
      <c r="AC206" s="36"/>
    </row>
    <row r="207" ht="12.75" customHeight="1">
      <c r="A207" s="37"/>
      <c r="B207" s="41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AB207" s="36"/>
      <c r="AC207" s="36"/>
    </row>
    <row r="208" ht="12.75" customHeight="1">
      <c r="A208" s="37"/>
      <c r="B208" s="41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AB208" s="36"/>
      <c r="AC208" s="36"/>
    </row>
    <row r="209" ht="12.75" customHeight="1">
      <c r="A209" s="37"/>
      <c r="B209" s="41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AB209" s="36"/>
      <c r="AC209" s="36"/>
    </row>
    <row r="210" ht="12.75" customHeight="1">
      <c r="A210" s="37"/>
      <c r="B210" s="41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AB210" s="36"/>
      <c r="AC210" s="36"/>
    </row>
    <row r="211" ht="12.75" customHeight="1">
      <c r="A211" s="37"/>
      <c r="B211" s="41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AB211" s="36"/>
      <c r="AC211" s="36"/>
    </row>
    <row r="212" ht="12.75" customHeight="1">
      <c r="A212" s="37"/>
      <c r="B212" s="41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AB212" s="36"/>
      <c r="AC212" s="36"/>
    </row>
    <row r="213" ht="12.75" customHeight="1">
      <c r="A213" s="37"/>
      <c r="B213" s="41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AB213" s="36"/>
      <c r="AC213" s="36"/>
    </row>
    <row r="214" ht="12.75" customHeight="1">
      <c r="A214" s="37"/>
      <c r="B214" s="41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AB214" s="36"/>
      <c r="AC214" s="36"/>
    </row>
    <row r="215" ht="12.75" customHeight="1">
      <c r="A215" s="37"/>
      <c r="B215" s="41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AB215" s="36"/>
      <c r="AC215" s="36"/>
    </row>
    <row r="216" ht="12.75" customHeight="1">
      <c r="A216" s="37"/>
      <c r="B216" s="41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AB216" s="36"/>
      <c r="AC216" s="36"/>
    </row>
    <row r="217" ht="12.75" customHeight="1">
      <c r="A217" s="37"/>
      <c r="B217" s="41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AB217" s="36"/>
      <c r="AC217" s="36"/>
    </row>
    <row r="218" ht="12.75" customHeight="1">
      <c r="A218" s="37"/>
      <c r="B218" s="41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AB218" s="36"/>
      <c r="AC218" s="36"/>
    </row>
    <row r="219" ht="12.75" customHeight="1">
      <c r="A219" s="37"/>
      <c r="B219" s="41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AB219" s="36"/>
      <c r="AC219" s="36"/>
    </row>
    <row r="220" ht="12.75" customHeight="1">
      <c r="A220" s="37"/>
      <c r="B220" s="41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AB220" s="36"/>
      <c r="AC220" s="36"/>
    </row>
    <row r="221" ht="12.75" customHeight="1">
      <c r="A221" s="37"/>
      <c r="B221" s="41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AB221" s="36"/>
      <c r="AC221" s="36"/>
    </row>
    <row r="222" ht="12.75" customHeight="1">
      <c r="A222" s="37"/>
      <c r="B222" s="41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AB222" s="36"/>
      <c r="AC222" s="36"/>
    </row>
    <row r="223" ht="12.75" customHeight="1">
      <c r="A223" s="37"/>
      <c r="B223" s="41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AB223" s="36"/>
      <c r="AC223" s="36"/>
    </row>
    <row r="224" ht="12.75" customHeight="1">
      <c r="A224" s="37"/>
      <c r="B224" s="41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AB224" s="36"/>
      <c r="AC224" s="36"/>
    </row>
    <row r="225" ht="12.75" customHeight="1">
      <c r="A225" s="37"/>
      <c r="B225" s="41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AB225" s="36"/>
      <c r="AC225" s="36"/>
    </row>
    <row r="226" ht="12.75" customHeight="1">
      <c r="A226" s="37"/>
      <c r="B226" s="41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AB226" s="36"/>
      <c r="AC226" s="36"/>
    </row>
    <row r="227" ht="12.75" customHeight="1">
      <c r="A227" s="37"/>
      <c r="B227" s="41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AB227" s="36"/>
      <c r="AC227" s="36"/>
    </row>
    <row r="228" ht="12.75" customHeight="1">
      <c r="A228" s="37"/>
      <c r="B228" s="41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AB228" s="36"/>
      <c r="AC228" s="36"/>
    </row>
    <row r="229" ht="12.75" customHeight="1">
      <c r="A229" s="37"/>
      <c r="B229" s="41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AB229" s="36"/>
      <c r="AC229" s="36"/>
    </row>
    <row r="230" ht="12.75" customHeight="1">
      <c r="A230" s="37"/>
      <c r="B230" s="41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AB230" s="36"/>
      <c r="AC230" s="36"/>
    </row>
    <row r="231" ht="12.75" customHeight="1">
      <c r="A231" s="37"/>
      <c r="B231" s="41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AB231" s="36"/>
      <c r="AC231" s="36"/>
    </row>
    <row r="232" ht="12.75" customHeight="1">
      <c r="A232" s="37"/>
      <c r="B232" s="41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AB232" s="36"/>
      <c r="AC232" s="36"/>
    </row>
    <row r="233" ht="12.75" customHeight="1">
      <c r="A233" s="37"/>
      <c r="B233" s="41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AB233" s="36"/>
      <c r="AC233" s="36"/>
    </row>
    <row r="234" ht="12.75" customHeight="1">
      <c r="A234" s="37"/>
      <c r="B234" s="41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AB234" s="36"/>
      <c r="AC234" s="36"/>
    </row>
    <row r="235" ht="12.75" customHeight="1">
      <c r="A235" s="37"/>
      <c r="B235" s="41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AB235" s="36"/>
      <c r="AC235" s="36"/>
    </row>
    <row r="236" ht="12.75" customHeight="1">
      <c r="A236" s="37"/>
      <c r="B236" s="41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AB236" s="36"/>
      <c r="AC236" s="36"/>
    </row>
    <row r="237" ht="12.75" customHeight="1">
      <c r="A237" s="37"/>
      <c r="B237" s="41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AB237" s="36"/>
      <c r="AC237" s="36"/>
    </row>
    <row r="238" ht="12.75" customHeight="1">
      <c r="A238" s="37"/>
      <c r="B238" s="41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AB238" s="36"/>
      <c r="AC238" s="36"/>
    </row>
    <row r="239" ht="12.75" customHeight="1">
      <c r="A239" s="37"/>
      <c r="B239" s="41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AB239" s="36"/>
      <c r="AC239" s="36"/>
    </row>
    <row r="240" ht="12.75" customHeight="1">
      <c r="A240" s="37"/>
      <c r="B240" s="41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AB240" s="36"/>
      <c r="AC240" s="36"/>
    </row>
    <row r="241" ht="12.75" customHeight="1">
      <c r="A241" s="37"/>
      <c r="B241" s="41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AB241" s="36"/>
      <c r="AC241" s="36"/>
    </row>
    <row r="242" ht="12.75" customHeight="1">
      <c r="A242" s="37"/>
      <c r="B242" s="41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AB242" s="36"/>
      <c r="AC242" s="36"/>
    </row>
    <row r="243" ht="12.75" customHeight="1">
      <c r="A243" s="37"/>
      <c r="B243" s="41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AB243" s="36"/>
      <c r="AC243" s="36"/>
    </row>
    <row r="244" ht="12.75" customHeight="1">
      <c r="A244" s="37"/>
      <c r="B244" s="41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AB244" s="36"/>
      <c r="AC244" s="36"/>
    </row>
    <row r="245" ht="12.75" customHeight="1">
      <c r="A245" s="37"/>
      <c r="B245" s="41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AB245" s="36"/>
      <c r="AC245" s="36"/>
    </row>
    <row r="246" ht="12.75" customHeight="1">
      <c r="A246" s="37"/>
      <c r="B246" s="41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AB246" s="36"/>
      <c r="AC246" s="36"/>
    </row>
    <row r="247" ht="12.75" customHeight="1">
      <c r="A247" s="37"/>
      <c r="B247" s="41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AB247" s="36"/>
      <c r="AC247" s="36"/>
    </row>
    <row r="248" ht="12.75" customHeight="1">
      <c r="A248" s="37"/>
      <c r="B248" s="41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AB248" s="36"/>
      <c r="AC248" s="36"/>
    </row>
    <row r="249" ht="12.75" customHeight="1">
      <c r="A249" s="37"/>
      <c r="B249" s="41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AB249" s="36"/>
      <c r="AC249" s="36"/>
    </row>
    <row r="250" ht="12.75" customHeight="1">
      <c r="A250" s="37"/>
      <c r="B250" s="41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AB250" s="36"/>
      <c r="AC250" s="36"/>
    </row>
    <row r="251" ht="12.75" customHeight="1">
      <c r="A251" s="37"/>
      <c r="B251" s="41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AB251" s="36"/>
      <c r="AC251" s="36"/>
    </row>
    <row r="252" ht="12.75" customHeight="1">
      <c r="A252" s="37"/>
      <c r="B252" s="41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AB252" s="36"/>
      <c r="AC252" s="36"/>
    </row>
    <row r="253" ht="12.75" customHeight="1">
      <c r="A253" s="37"/>
      <c r="B253" s="41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AB253" s="36"/>
      <c r="AC253" s="36"/>
    </row>
    <row r="254" ht="12.75" customHeight="1">
      <c r="A254" s="37"/>
      <c r="B254" s="41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AB254" s="36"/>
      <c r="AC254" s="36"/>
    </row>
    <row r="255" ht="12.75" customHeight="1">
      <c r="A255" s="37"/>
      <c r="B255" s="41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AB255" s="36"/>
      <c r="AC255" s="36"/>
    </row>
    <row r="256" ht="12.75" customHeight="1">
      <c r="A256" s="37"/>
      <c r="B256" s="41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AB256" s="36"/>
      <c r="AC256" s="36"/>
    </row>
    <row r="257" ht="12.75" customHeight="1">
      <c r="A257" s="37"/>
      <c r="B257" s="41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AB257" s="36"/>
      <c r="AC257" s="36"/>
    </row>
    <row r="258" ht="12.75" customHeight="1">
      <c r="A258" s="37"/>
      <c r="B258" s="41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AB258" s="36"/>
      <c r="AC258" s="36"/>
    </row>
    <row r="259" ht="12.75" customHeight="1">
      <c r="A259" s="37"/>
      <c r="B259" s="41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AB259" s="36"/>
      <c r="AC259" s="36"/>
    </row>
    <row r="260" ht="12.75" customHeight="1">
      <c r="A260" s="37"/>
      <c r="B260" s="41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AB260" s="36"/>
      <c r="AC260" s="36"/>
    </row>
    <row r="261" ht="12.75" customHeight="1">
      <c r="A261" s="37"/>
      <c r="B261" s="41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AB261" s="36"/>
      <c r="AC261" s="36"/>
    </row>
    <row r="262" ht="12.75" customHeight="1">
      <c r="A262" s="37"/>
      <c r="B262" s="41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AB262" s="36"/>
      <c r="AC262" s="36"/>
    </row>
    <row r="263" ht="12.75" customHeight="1">
      <c r="A263" s="37"/>
      <c r="B263" s="41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AB263" s="36"/>
      <c r="AC263" s="36"/>
    </row>
    <row r="264" ht="12.75" customHeight="1">
      <c r="A264" s="37"/>
      <c r="B264" s="41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AB264" s="36"/>
      <c r="AC264" s="36"/>
    </row>
    <row r="265" ht="12.75" customHeight="1">
      <c r="A265" s="37"/>
      <c r="B265" s="41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AB265" s="36"/>
      <c r="AC265" s="36"/>
    </row>
    <row r="266" ht="12.75" customHeight="1">
      <c r="A266" s="37"/>
      <c r="B266" s="41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AB266" s="36"/>
      <c r="AC266" s="36"/>
    </row>
    <row r="267" ht="12.75" customHeight="1">
      <c r="A267" s="37"/>
      <c r="B267" s="41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AB267" s="36"/>
      <c r="AC267" s="36"/>
    </row>
    <row r="268" ht="12.75" customHeight="1">
      <c r="A268" s="37"/>
      <c r="B268" s="41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AB268" s="36"/>
      <c r="AC268" s="36"/>
    </row>
    <row r="269" ht="12.75" customHeight="1">
      <c r="A269" s="37"/>
      <c r="B269" s="41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AB269" s="36"/>
      <c r="AC269" s="36"/>
    </row>
    <row r="270" ht="12.75" customHeight="1">
      <c r="A270" s="37"/>
      <c r="B270" s="41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AB270" s="36"/>
      <c r="AC270" s="36"/>
    </row>
    <row r="271" ht="12.75" customHeight="1">
      <c r="A271" s="37"/>
      <c r="B271" s="41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AB271" s="36"/>
      <c r="AC271" s="36"/>
    </row>
    <row r="272" ht="12.75" customHeight="1">
      <c r="A272" s="37"/>
      <c r="B272" s="41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AB272" s="36"/>
      <c r="AC272" s="36"/>
    </row>
    <row r="273" ht="12.75" customHeight="1">
      <c r="A273" s="37"/>
      <c r="B273" s="41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AB273" s="36"/>
      <c r="AC273" s="36"/>
    </row>
    <row r="274" ht="12.75" customHeight="1">
      <c r="A274" s="37"/>
      <c r="B274" s="41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AB274" s="36"/>
      <c r="AC274" s="36"/>
    </row>
    <row r="275" ht="12.75" customHeight="1">
      <c r="A275" s="37"/>
      <c r="B275" s="41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AB275" s="36"/>
      <c r="AC275" s="36"/>
    </row>
    <row r="276" ht="12.75" customHeight="1">
      <c r="A276" s="37"/>
      <c r="B276" s="41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AB276" s="36"/>
      <c r="AC276" s="36"/>
    </row>
    <row r="277" ht="12.75" customHeight="1">
      <c r="A277" s="58"/>
      <c r="B277" s="59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AB277" s="36"/>
      <c r="AC277" s="36"/>
    </row>
    <row r="278" ht="12.75" customHeight="1">
      <c r="A278" s="58"/>
      <c r="B278" s="59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AB278" s="36"/>
      <c r="AC278" s="36"/>
    </row>
    <row r="279" ht="12.75" customHeight="1">
      <c r="A279" s="58"/>
      <c r="B279" s="59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AB279" s="36"/>
      <c r="AC279" s="36"/>
    </row>
    <row r="280" ht="12.75" customHeight="1">
      <c r="A280" s="58"/>
      <c r="B280" s="59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AB280" s="36"/>
      <c r="AC280" s="36"/>
    </row>
    <row r="281" ht="12.75" customHeight="1">
      <c r="A281" s="58"/>
      <c r="B281" s="59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AB281" s="36"/>
      <c r="AC281" s="36"/>
    </row>
    <row r="282" ht="12.75" customHeight="1">
      <c r="A282" s="58"/>
      <c r="B282" s="59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AB282" s="36"/>
      <c r="AC282" s="36"/>
    </row>
    <row r="283" ht="12.75" customHeight="1">
      <c r="A283" s="58"/>
      <c r="B283" s="59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AB283" s="36"/>
      <c r="AC283" s="36"/>
    </row>
    <row r="284" ht="12.75" customHeight="1">
      <c r="A284" s="58"/>
      <c r="B284" s="59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AB284" s="36"/>
      <c r="AC284" s="36"/>
    </row>
    <row r="285" ht="12.75" customHeight="1">
      <c r="A285" s="58"/>
      <c r="B285" s="59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AB285" s="36"/>
      <c r="AC285" s="36"/>
    </row>
    <row r="286" ht="12.75" customHeight="1">
      <c r="A286" s="58"/>
      <c r="B286" s="59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AB286" s="36"/>
      <c r="AC286" s="36"/>
    </row>
    <row r="287" ht="12.75" customHeight="1">
      <c r="A287" s="58"/>
      <c r="B287" s="59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AB287" s="36"/>
      <c r="AC287" s="36"/>
    </row>
    <row r="288" ht="12.75" customHeight="1">
      <c r="A288" s="58"/>
      <c r="B288" s="59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AB288" s="36"/>
      <c r="AC288" s="36"/>
    </row>
    <row r="289" ht="12.75" customHeight="1">
      <c r="A289" s="58"/>
      <c r="B289" s="59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AB289" s="36"/>
      <c r="AC289" s="36"/>
    </row>
    <row r="290" ht="12.75" customHeight="1">
      <c r="A290" s="58"/>
      <c r="B290" s="59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AB290" s="36"/>
      <c r="AC290" s="36"/>
    </row>
    <row r="291" ht="12.75" customHeight="1">
      <c r="A291" s="58"/>
      <c r="B291" s="59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AB291" s="36"/>
      <c r="AC291" s="36"/>
    </row>
    <row r="292" ht="12.75" customHeight="1">
      <c r="A292" s="58"/>
      <c r="B292" s="59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AB292" s="36"/>
      <c r="AC292" s="36"/>
    </row>
    <row r="293" ht="12.75" customHeight="1">
      <c r="A293" s="58"/>
      <c r="B293" s="59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AB293" s="36"/>
      <c r="AC293" s="36"/>
    </row>
    <row r="294" ht="12.75" customHeight="1">
      <c r="A294" s="58"/>
      <c r="B294" s="59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AB294" s="36"/>
      <c r="AC294" s="36"/>
    </row>
    <row r="295" ht="12.75" customHeight="1">
      <c r="A295" s="58"/>
      <c r="B295" s="59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AB295" s="36"/>
      <c r="AC295" s="36"/>
    </row>
    <row r="296" ht="12.75" customHeight="1">
      <c r="A296" s="58"/>
      <c r="B296" s="59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AB296" s="36"/>
      <c r="AC296" s="36"/>
    </row>
    <row r="297" ht="12.75" customHeight="1">
      <c r="A297" s="58"/>
      <c r="B297" s="59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AB297" s="36"/>
      <c r="AC297" s="36"/>
    </row>
    <row r="298" ht="12.75" customHeight="1">
      <c r="A298" s="58"/>
      <c r="B298" s="59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AB298" s="36"/>
      <c r="AC298" s="36"/>
    </row>
    <row r="299" ht="12.75" customHeight="1">
      <c r="A299" s="58"/>
      <c r="B299" s="59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AB299" s="36"/>
      <c r="AC299" s="36"/>
    </row>
    <row r="300" ht="12.75" customHeight="1">
      <c r="A300" s="58"/>
      <c r="B300" s="59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AB300" s="36"/>
      <c r="AC300" s="36"/>
    </row>
    <row r="301" ht="12.75" customHeight="1">
      <c r="A301" s="58"/>
      <c r="B301" s="59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AB301" s="36"/>
      <c r="AC301" s="36"/>
    </row>
    <row r="302" ht="12.75" customHeight="1">
      <c r="A302" s="58"/>
      <c r="B302" s="59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AB302" s="36"/>
      <c r="AC302" s="36"/>
    </row>
    <row r="303" ht="12.75" customHeight="1">
      <c r="A303" s="58"/>
      <c r="B303" s="59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AB303" s="36"/>
      <c r="AC303" s="36"/>
    </row>
    <row r="304" ht="12.75" customHeight="1">
      <c r="A304" s="58"/>
      <c r="B304" s="59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AB304" s="36"/>
      <c r="AC304" s="36"/>
    </row>
    <row r="305" ht="12.75" customHeight="1">
      <c r="A305" s="58"/>
      <c r="B305" s="59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AB305" s="36"/>
      <c r="AC305" s="36"/>
    </row>
    <row r="306" ht="12.75" customHeight="1">
      <c r="A306" s="58"/>
      <c r="B306" s="59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AB306" s="36"/>
      <c r="AC306" s="36"/>
    </row>
    <row r="307" ht="12.75" customHeight="1">
      <c r="A307" s="58"/>
      <c r="B307" s="59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AB307" s="36"/>
      <c r="AC307" s="36"/>
    </row>
    <row r="308" ht="12.75" customHeight="1">
      <c r="A308" s="58"/>
      <c r="B308" s="59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AB308" s="36"/>
      <c r="AC308" s="36"/>
    </row>
    <row r="309" ht="12.75" customHeight="1">
      <c r="A309" s="58"/>
      <c r="B309" s="59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AB309" s="36"/>
      <c r="AC309" s="36"/>
    </row>
    <row r="310" ht="12.75" customHeight="1">
      <c r="A310" s="58"/>
      <c r="B310" s="59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AB310" s="36"/>
      <c r="AC310" s="36"/>
    </row>
    <row r="311" ht="12.75" customHeight="1">
      <c r="A311" s="58"/>
      <c r="B311" s="59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AB311" s="36"/>
      <c r="AC311" s="36"/>
    </row>
    <row r="312" ht="12.75" customHeight="1">
      <c r="A312" s="58"/>
      <c r="B312" s="59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AB312" s="36"/>
      <c r="AC312" s="36"/>
    </row>
    <row r="313" ht="12.75" customHeight="1">
      <c r="A313" s="58"/>
      <c r="B313" s="59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AB313" s="36"/>
      <c r="AC313" s="36"/>
    </row>
    <row r="314" ht="12.75" customHeight="1">
      <c r="A314" s="58"/>
      <c r="B314" s="59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AB314" s="36"/>
      <c r="AC314" s="36"/>
    </row>
    <row r="315" ht="12.75" customHeight="1">
      <c r="A315" s="58"/>
      <c r="B315" s="59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AB315" s="36"/>
      <c r="AC315" s="36"/>
    </row>
    <row r="316" ht="12.75" customHeight="1">
      <c r="A316" s="58"/>
      <c r="B316" s="59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AB316" s="36"/>
      <c r="AC316" s="36"/>
    </row>
    <row r="317" ht="12.75" customHeight="1">
      <c r="A317" s="58"/>
      <c r="B317" s="59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AB317" s="36"/>
      <c r="AC317" s="36"/>
    </row>
    <row r="318" ht="12.75" customHeight="1">
      <c r="A318" s="58"/>
      <c r="B318" s="59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AB318" s="36"/>
      <c r="AC318" s="36"/>
    </row>
    <row r="319" ht="12.75" customHeight="1">
      <c r="A319" s="58"/>
      <c r="B319" s="59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AB319" s="36"/>
      <c r="AC319" s="36"/>
    </row>
    <row r="320" ht="12.75" customHeight="1">
      <c r="A320" s="58"/>
      <c r="B320" s="59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AB320" s="36"/>
      <c r="AC320" s="36"/>
    </row>
    <row r="321" ht="12.75" customHeight="1">
      <c r="A321" s="58"/>
      <c r="B321" s="59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AB321" s="36"/>
      <c r="AC321" s="36"/>
    </row>
    <row r="322" ht="12.75" customHeight="1">
      <c r="A322" s="58"/>
      <c r="B322" s="59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AB322" s="36"/>
      <c r="AC322" s="36"/>
    </row>
    <row r="323" ht="12.75" customHeight="1">
      <c r="A323" s="58"/>
      <c r="B323" s="59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AB323" s="36"/>
      <c r="AC323" s="36"/>
    </row>
    <row r="324" ht="12.75" customHeight="1">
      <c r="A324" s="58"/>
      <c r="B324" s="59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AB324" s="36"/>
      <c r="AC324" s="36"/>
    </row>
    <row r="325" ht="12.75" customHeight="1">
      <c r="A325" s="58"/>
      <c r="B325" s="59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AB325" s="36"/>
      <c r="AC325" s="36"/>
    </row>
    <row r="326" ht="12.75" customHeight="1">
      <c r="A326" s="58"/>
      <c r="B326" s="59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AB326" s="36"/>
      <c r="AC326" s="36"/>
    </row>
    <row r="327" ht="12.75" customHeight="1">
      <c r="A327" s="58"/>
      <c r="B327" s="59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AB327" s="36"/>
      <c r="AC327" s="36"/>
    </row>
    <row r="328" ht="12.75" customHeight="1">
      <c r="A328" s="58"/>
      <c r="B328" s="59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AB328" s="36"/>
      <c r="AC328" s="36"/>
    </row>
    <row r="329" ht="12.75" customHeight="1">
      <c r="A329" s="58"/>
      <c r="B329" s="59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AB329" s="36"/>
      <c r="AC329" s="36"/>
    </row>
    <row r="330" ht="12.75" customHeight="1">
      <c r="A330" s="58"/>
      <c r="B330" s="59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AB330" s="36"/>
      <c r="AC330" s="36"/>
    </row>
    <row r="331" ht="12.75" customHeight="1">
      <c r="A331" s="58"/>
      <c r="B331" s="59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AB331" s="36"/>
      <c r="AC331" s="36"/>
    </row>
    <row r="332" ht="12.75" customHeight="1">
      <c r="A332" s="58"/>
      <c r="B332" s="59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AB332" s="36"/>
      <c r="AC332" s="36"/>
    </row>
    <row r="333" ht="12.75" customHeight="1">
      <c r="A333" s="58"/>
      <c r="B333" s="59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AB333" s="36"/>
      <c r="AC333" s="36"/>
    </row>
    <row r="334" ht="12.75" customHeight="1">
      <c r="A334" s="58"/>
      <c r="B334" s="59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AB334" s="36"/>
      <c r="AC334" s="36"/>
    </row>
    <row r="335" ht="12.75" customHeight="1">
      <c r="A335" s="58"/>
      <c r="B335" s="59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AB335" s="36"/>
      <c r="AC335" s="36"/>
    </row>
    <row r="336" ht="12.75" customHeight="1">
      <c r="A336" s="58"/>
      <c r="B336" s="59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AB336" s="36"/>
      <c r="AC336" s="36"/>
    </row>
    <row r="337" ht="12.75" customHeight="1">
      <c r="A337" s="58"/>
      <c r="B337" s="59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AB337" s="36"/>
      <c r="AC337" s="36"/>
    </row>
    <row r="338" ht="12.75" customHeight="1">
      <c r="A338" s="58"/>
      <c r="B338" s="59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AB338" s="36"/>
      <c r="AC338" s="36"/>
    </row>
    <row r="339" ht="12.75" customHeight="1">
      <c r="A339" s="58"/>
      <c r="B339" s="59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AB339" s="36"/>
      <c r="AC339" s="36"/>
    </row>
    <row r="340" ht="12.75" customHeight="1">
      <c r="A340" s="58"/>
      <c r="B340" s="59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AB340" s="36"/>
      <c r="AC340" s="36"/>
    </row>
    <row r="341" ht="12.75" customHeight="1">
      <c r="A341" s="58"/>
      <c r="B341" s="59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AB341" s="36"/>
      <c r="AC341" s="36"/>
    </row>
    <row r="342" ht="12.75" customHeight="1">
      <c r="A342" s="58"/>
      <c r="B342" s="59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AB342" s="36"/>
      <c r="AC342" s="36"/>
    </row>
    <row r="343" ht="12.75" customHeight="1">
      <c r="A343" s="58"/>
      <c r="B343" s="59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AB343" s="36"/>
      <c r="AC343" s="36"/>
    </row>
    <row r="344" ht="12.75" customHeight="1">
      <c r="A344" s="58"/>
      <c r="B344" s="59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AB344" s="36"/>
      <c r="AC344" s="36"/>
    </row>
    <row r="345" ht="12.75" customHeight="1">
      <c r="A345" s="58"/>
      <c r="B345" s="59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AB345" s="36"/>
      <c r="AC345" s="36"/>
    </row>
    <row r="346" ht="12.75" customHeight="1">
      <c r="A346" s="58"/>
      <c r="B346" s="59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AB346" s="36"/>
      <c r="AC346" s="36"/>
    </row>
    <row r="347" ht="12.75" customHeight="1">
      <c r="A347" s="58"/>
      <c r="B347" s="59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AB347" s="36"/>
      <c r="AC347" s="36"/>
    </row>
    <row r="348" ht="12.75" customHeight="1">
      <c r="A348" s="58"/>
      <c r="B348" s="59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AB348" s="36"/>
      <c r="AC348" s="36"/>
    </row>
    <row r="349" ht="12.75" customHeight="1">
      <c r="A349" s="58"/>
      <c r="B349" s="59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AB349" s="36"/>
      <c r="AC349" s="36"/>
    </row>
    <row r="350" ht="12.75" customHeight="1">
      <c r="A350" s="58"/>
      <c r="B350" s="59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AB350" s="36"/>
      <c r="AC350" s="36"/>
    </row>
    <row r="351" ht="12.75" customHeight="1">
      <c r="A351" s="58"/>
      <c r="B351" s="59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AB351" s="36"/>
      <c r="AC351" s="36"/>
    </row>
    <row r="352" ht="12.75" customHeight="1">
      <c r="A352" s="58"/>
      <c r="B352" s="59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AB352" s="36"/>
      <c r="AC352" s="36"/>
    </row>
    <row r="353" ht="12.75" customHeight="1">
      <c r="A353" s="58"/>
      <c r="B353" s="59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AB353" s="36"/>
      <c r="AC353" s="36"/>
    </row>
    <row r="354" ht="12.75" customHeight="1">
      <c r="A354" s="58"/>
      <c r="B354" s="59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AB354" s="36"/>
      <c r="AC354" s="36"/>
    </row>
    <row r="355" ht="12.75" customHeight="1">
      <c r="A355" s="58"/>
      <c r="B355" s="59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AB355" s="36"/>
      <c r="AC355" s="36"/>
    </row>
    <row r="356" ht="12.75" customHeight="1">
      <c r="A356" s="58"/>
      <c r="B356" s="59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AB356" s="36"/>
      <c r="AC356" s="36"/>
    </row>
    <row r="357" ht="12.75" customHeight="1">
      <c r="A357" s="58"/>
      <c r="B357" s="59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AB357" s="36"/>
      <c r="AC357" s="36"/>
    </row>
    <row r="358" ht="12.75" customHeight="1">
      <c r="A358" s="58"/>
      <c r="B358" s="59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AB358" s="36"/>
      <c r="AC358" s="36"/>
    </row>
    <row r="359" ht="12.75" customHeight="1">
      <c r="A359" s="58"/>
      <c r="B359" s="59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AB359" s="36"/>
      <c r="AC359" s="36"/>
    </row>
    <row r="360" ht="12.75" customHeight="1">
      <c r="A360" s="58"/>
      <c r="B360" s="59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AB360" s="36"/>
      <c r="AC360" s="36"/>
    </row>
    <row r="361" ht="12.75" customHeight="1">
      <c r="A361" s="58"/>
      <c r="B361" s="59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AB361" s="36"/>
      <c r="AC361" s="36"/>
    </row>
    <row r="362" ht="12.75" customHeight="1">
      <c r="A362" s="58"/>
      <c r="B362" s="59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AB362" s="36"/>
      <c r="AC362" s="36"/>
    </row>
    <row r="363" ht="12.75" customHeight="1">
      <c r="A363" s="58"/>
      <c r="B363" s="59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AB363" s="36"/>
      <c r="AC363" s="36"/>
    </row>
    <row r="364" ht="12.75" customHeight="1">
      <c r="A364" s="58"/>
      <c r="B364" s="59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AB364" s="36"/>
      <c r="AC364" s="36"/>
    </row>
    <row r="365" ht="12.75" customHeight="1">
      <c r="A365" s="58"/>
      <c r="B365" s="59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AB365" s="36"/>
      <c r="AC365" s="36"/>
    </row>
    <row r="366" ht="12.75" customHeight="1">
      <c r="A366" s="58"/>
      <c r="B366" s="59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AB366" s="36"/>
      <c r="AC366" s="36"/>
    </row>
    <row r="367" ht="12.75" customHeight="1">
      <c r="A367" s="58"/>
      <c r="B367" s="59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AB367" s="36"/>
      <c r="AC367" s="36"/>
    </row>
    <row r="368" ht="12.75" customHeight="1">
      <c r="A368" s="58"/>
      <c r="B368" s="59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AB368" s="36"/>
      <c r="AC368" s="36"/>
    </row>
    <row r="369" ht="12.75" customHeight="1">
      <c r="A369" s="58"/>
      <c r="B369" s="59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AB369" s="36"/>
      <c r="AC369" s="36"/>
    </row>
    <row r="370" ht="12.75" customHeight="1">
      <c r="A370" s="58"/>
      <c r="B370" s="59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AB370" s="36"/>
      <c r="AC370" s="36"/>
    </row>
    <row r="371" ht="12.75" customHeight="1">
      <c r="A371" s="58"/>
      <c r="B371" s="59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AB371" s="36"/>
      <c r="AC371" s="36"/>
    </row>
    <row r="372" ht="12.75" customHeight="1">
      <c r="A372" s="58"/>
      <c r="B372" s="59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AB372" s="36"/>
      <c r="AC372" s="36"/>
    </row>
    <row r="373" ht="12.75" customHeight="1">
      <c r="A373" s="58"/>
      <c r="B373" s="59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AB373" s="36"/>
      <c r="AC373" s="36"/>
    </row>
    <row r="374" ht="12.75" customHeight="1">
      <c r="A374" s="58"/>
      <c r="B374" s="59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AB374" s="36"/>
      <c r="AC374" s="36"/>
    </row>
    <row r="375" ht="12.75" customHeight="1">
      <c r="A375" s="58"/>
      <c r="B375" s="59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AB375" s="36"/>
      <c r="AC375" s="36"/>
    </row>
    <row r="376" ht="12.75" customHeight="1">
      <c r="A376" s="58"/>
      <c r="B376" s="59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AB376" s="36"/>
      <c r="AC376" s="36"/>
    </row>
    <row r="377" ht="12.75" customHeight="1">
      <c r="A377" s="58"/>
      <c r="B377" s="59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AB377" s="36"/>
      <c r="AC377" s="36"/>
    </row>
    <row r="378" ht="12.75" customHeight="1">
      <c r="A378" s="58"/>
      <c r="B378" s="59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AB378" s="36"/>
      <c r="AC378" s="36"/>
    </row>
    <row r="379" ht="12.75" customHeight="1">
      <c r="A379" s="58"/>
      <c r="B379" s="59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AB379" s="36"/>
      <c r="AC379" s="36"/>
    </row>
    <row r="380" ht="12.75" customHeight="1">
      <c r="A380" s="58"/>
      <c r="B380" s="59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AB380" s="36"/>
      <c r="AC380" s="36"/>
    </row>
    <row r="381" ht="12.75" customHeight="1">
      <c r="A381" s="58"/>
      <c r="B381" s="59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AB381" s="36"/>
      <c r="AC381" s="36"/>
    </row>
    <row r="382" ht="12.75" customHeight="1">
      <c r="A382" s="58"/>
      <c r="B382" s="59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AB382" s="36"/>
      <c r="AC382" s="36"/>
    </row>
    <row r="383" ht="12.75" customHeight="1">
      <c r="A383" s="58"/>
      <c r="B383" s="59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AB383" s="36"/>
      <c r="AC383" s="36"/>
    </row>
    <row r="384" ht="12.75" customHeight="1">
      <c r="A384" s="58"/>
      <c r="B384" s="59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AB384" s="36"/>
      <c r="AC384" s="36"/>
    </row>
    <row r="385" ht="12.75" customHeight="1">
      <c r="A385" s="58"/>
      <c r="B385" s="59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AB385" s="36"/>
      <c r="AC385" s="36"/>
    </row>
    <row r="386" ht="12.75" customHeight="1">
      <c r="A386" s="58"/>
      <c r="B386" s="59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AB386" s="36"/>
      <c r="AC386" s="36"/>
    </row>
    <row r="387" ht="12.75" customHeight="1">
      <c r="A387" s="58"/>
      <c r="B387" s="59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AB387" s="36"/>
      <c r="AC387" s="36"/>
    </row>
    <row r="388" ht="12.75" customHeight="1">
      <c r="A388" s="58"/>
      <c r="B388" s="59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AB388" s="36"/>
      <c r="AC388" s="36"/>
    </row>
    <row r="389" ht="12.75" customHeight="1">
      <c r="A389" s="58"/>
      <c r="B389" s="59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AB389" s="36"/>
      <c r="AC389" s="36"/>
    </row>
    <row r="390" ht="12.75" customHeight="1">
      <c r="A390" s="58"/>
      <c r="B390" s="59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AB390" s="36"/>
      <c r="AC390" s="36"/>
    </row>
    <row r="391" ht="12.75" customHeight="1">
      <c r="A391" s="58"/>
      <c r="B391" s="59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AB391" s="36"/>
      <c r="AC391" s="36"/>
    </row>
    <row r="392" ht="12.75" customHeight="1">
      <c r="A392" s="58"/>
      <c r="B392" s="59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AB392" s="36"/>
      <c r="AC392" s="36"/>
    </row>
    <row r="393" ht="12.75" customHeight="1">
      <c r="A393" s="58"/>
      <c r="B393" s="59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AB393" s="36"/>
      <c r="AC393" s="36"/>
    </row>
    <row r="394" ht="12.75" customHeight="1">
      <c r="A394" s="58"/>
      <c r="B394" s="59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AB394" s="36"/>
      <c r="AC394" s="36"/>
    </row>
    <row r="395" ht="12.75" customHeight="1">
      <c r="A395" s="58"/>
      <c r="B395" s="59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AB395" s="36"/>
      <c r="AC395" s="36"/>
    </row>
    <row r="396" ht="12.75" customHeight="1">
      <c r="A396" s="58"/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AB396" s="36"/>
      <c r="AC396" s="36"/>
    </row>
    <row r="397" ht="12.75" customHeight="1">
      <c r="A397" s="58"/>
      <c r="B397" s="59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AB397" s="36"/>
      <c r="AC397" s="36"/>
    </row>
    <row r="398" ht="12.75" customHeight="1">
      <c r="A398" s="58"/>
      <c r="B398" s="59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AB398" s="36"/>
      <c r="AC398" s="36"/>
    </row>
    <row r="399" ht="12.75" customHeight="1">
      <c r="A399" s="58"/>
      <c r="B399" s="59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AB399" s="36"/>
      <c r="AC399" s="36"/>
    </row>
    <row r="400" ht="12.75" customHeight="1">
      <c r="A400" s="58"/>
      <c r="B400" s="59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AB400" s="36"/>
      <c r="AC400" s="36"/>
    </row>
    <row r="401" ht="12.75" customHeight="1">
      <c r="A401" s="58"/>
      <c r="B401" s="59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AB401" s="36"/>
      <c r="AC401" s="36"/>
    </row>
    <row r="402" ht="12.75" customHeight="1">
      <c r="A402" s="58"/>
      <c r="B402" s="59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AB402" s="36"/>
      <c r="AC402" s="36"/>
    </row>
    <row r="403" ht="12.75" customHeight="1">
      <c r="A403" s="58"/>
      <c r="B403" s="59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AB403" s="36"/>
      <c r="AC403" s="36"/>
    </row>
    <row r="404" ht="12.75" customHeight="1">
      <c r="A404" s="58"/>
      <c r="B404" s="59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AB404" s="36"/>
      <c r="AC404" s="36"/>
    </row>
    <row r="405" ht="12.75" customHeight="1">
      <c r="A405" s="58"/>
      <c r="B405" s="59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AB405" s="36"/>
      <c r="AC405" s="36"/>
    </row>
    <row r="406" ht="12.75" customHeight="1">
      <c r="A406" s="58"/>
      <c r="B406" s="59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AB406" s="36"/>
      <c r="AC406" s="36"/>
    </row>
    <row r="407" ht="12.75" customHeight="1">
      <c r="A407" s="58"/>
      <c r="B407" s="59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AB407" s="36"/>
      <c r="AC407" s="36"/>
    </row>
    <row r="408" ht="12.75" customHeight="1">
      <c r="A408" s="58"/>
      <c r="B408" s="59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AB408" s="36"/>
      <c r="AC408" s="36"/>
    </row>
    <row r="409" ht="12.75" customHeight="1">
      <c r="A409" s="58"/>
      <c r="B409" s="59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AB409" s="36"/>
      <c r="AC409" s="36"/>
    </row>
    <row r="410" ht="12.75" customHeight="1">
      <c r="A410" s="58"/>
      <c r="B410" s="59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AB410" s="36"/>
      <c r="AC410" s="36"/>
    </row>
    <row r="411" ht="12.75" customHeight="1">
      <c r="A411" s="58"/>
      <c r="B411" s="59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AB411" s="36"/>
      <c r="AC411" s="36"/>
    </row>
    <row r="412" ht="12.75" customHeight="1">
      <c r="A412" s="58"/>
      <c r="B412" s="59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AB412" s="36"/>
      <c r="AC412" s="36"/>
    </row>
    <row r="413" ht="12.75" customHeight="1">
      <c r="A413" s="58"/>
      <c r="B413" s="59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AB413" s="36"/>
      <c r="AC413" s="36"/>
    </row>
    <row r="414" ht="12.75" customHeight="1">
      <c r="A414" s="58"/>
      <c r="B414" s="59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AB414" s="36"/>
      <c r="AC414" s="36"/>
    </row>
    <row r="415" ht="12.75" customHeight="1">
      <c r="A415" s="58"/>
      <c r="B415" s="59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AB415" s="36"/>
      <c r="AC415" s="36"/>
    </row>
    <row r="416" ht="12.75" customHeight="1">
      <c r="A416" s="58"/>
      <c r="B416" s="59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AB416" s="36"/>
      <c r="AC416" s="36"/>
    </row>
    <row r="417" ht="12.75" customHeight="1">
      <c r="A417" s="58"/>
      <c r="B417" s="59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AB417" s="36"/>
      <c r="AC417" s="36"/>
    </row>
    <row r="418" ht="12.75" customHeight="1">
      <c r="A418" s="58"/>
      <c r="B418" s="59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AB418" s="36"/>
      <c r="AC418" s="36"/>
    </row>
    <row r="419" ht="12.75" customHeight="1">
      <c r="A419" s="58"/>
      <c r="B419" s="59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AB419" s="36"/>
      <c r="AC419" s="36"/>
    </row>
    <row r="420" ht="12.75" customHeight="1">
      <c r="A420" s="58"/>
      <c r="B420" s="59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AB420" s="36"/>
      <c r="AC420" s="36"/>
    </row>
    <row r="421" ht="12.75" customHeight="1">
      <c r="A421" s="58"/>
      <c r="B421" s="59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AB421" s="36"/>
      <c r="AC421" s="36"/>
    </row>
    <row r="422" ht="12.75" customHeight="1">
      <c r="A422" s="58"/>
      <c r="B422" s="59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AB422" s="36"/>
      <c r="AC422" s="36"/>
    </row>
    <row r="423" ht="12.75" customHeight="1">
      <c r="A423" s="58"/>
      <c r="B423" s="59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AB423" s="36"/>
      <c r="AC423" s="36"/>
    </row>
    <row r="424" ht="12.75" customHeight="1">
      <c r="A424" s="58"/>
      <c r="B424" s="59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AB424" s="36"/>
      <c r="AC424" s="36"/>
    </row>
    <row r="425" ht="12.75" customHeight="1">
      <c r="A425" s="58"/>
      <c r="B425" s="59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AB425" s="36"/>
      <c r="AC425" s="36"/>
    </row>
    <row r="426" ht="12.75" customHeight="1">
      <c r="A426" s="58"/>
      <c r="B426" s="59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AB426" s="36"/>
      <c r="AC426" s="36"/>
    </row>
    <row r="427" ht="12.75" customHeight="1">
      <c r="A427" s="58"/>
      <c r="B427" s="59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AB427" s="36"/>
      <c r="AC427" s="36"/>
    </row>
    <row r="428" ht="12.75" customHeight="1">
      <c r="A428" s="58"/>
      <c r="B428" s="59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AB428" s="36"/>
      <c r="AC428" s="36"/>
    </row>
    <row r="429" ht="12.75" customHeight="1">
      <c r="A429" s="58"/>
      <c r="B429" s="59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AB429" s="36"/>
      <c r="AC429" s="36"/>
    </row>
    <row r="430" ht="12.75" customHeight="1">
      <c r="A430" s="58"/>
      <c r="B430" s="59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AB430" s="36"/>
      <c r="AC430" s="36"/>
    </row>
    <row r="431" ht="12.75" customHeight="1">
      <c r="A431" s="58"/>
      <c r="B431" s="59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AB431" s="36"/>
      <c r="AC431" s="36"/>
    </row>
    <row r="432" ht="12.75" customHeight="1">
      <c r="A432" s="58"/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AB432" s="36"/>
      <c r="AC432" s="36"/>
    </row>
    <row r="433" ht="12.75" customHeight="1">
      <c r="A433" s="58"/>
      <c r="B433" s="59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AB433" s="36"/>
      <c r="AC433" s="36"/>
    </row>
    <row r="434" ht="12.75" customHeight="1">
      <c r="A434" s="58"/>
      <c r="B434" s="59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AB434" s="36"/>
      <c r="AC434" s="36"/>
    </row>
    <row r="435" ht="12.75" customHeight="1">
      <c r="A435" s="58"/>
      <c r="B435" s="59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AB435" s="36"/>
      <c r="AC435" s="36"/>
    </row>
    <row r="436" ht="12.75" customHeight="1">
      <c r="A436" s="58"/>
      <c r="B436" s="59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AB436" s="36"/>
      <c r="AC436" s="36"/>
    </row>
    <row r="437" ht="12.75" customHeight="1">
      <c r="A437" s="58"/>
      <c r="B437" s="59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AB437" s="36"/>
      <c r="AC437" s="36"/>
    </row>
    <row r="438" ht="12.75" customHeight="1">
      <c r="A438" s="58"/>
      <c r="B438" s="59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AB438" s="36"/>
      <c r="AC438" s="36"/>
    </row>
    <row r="439" ht="12.75" customHeight="1">
      <c r="A439" s="58"/>
      <c r="B439" s="59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AB439" s="36"/>
      <c r="AC439" s="36"/>
    </row>
    <row r="440" ht="12.75" customHeight="1">
      <c r="A440" s="58"/>
      <c r="B440" s="59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AB440" s="36"/>
      <c r="AC440" s="36"/>
    </row>
    <row r="441" ht="12.75" customHeight="1">
      <c r="A441" s="58"/>
      <c r="B441" s="59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AB441" s="36"/>
      <c r="AC441" s="36"/>
    </row>
    <row r="442" ht="12.75" customHeight="1">
      <c r="A442" s="58"/>
      <c r="B442" s="59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AB442" s="36"/>
      <c r="AC442" s="36"/>
    </row>
    <row r="443" ht="12.75" customHeight="1">
      <c r="A443" s="58"/>
      <c r="B443" s="59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AB443" s="36"/>
      <c r="AC443" s="36"/>
    </row>
    <row r="444" ht="12.75" customHeight="1">
      <c r="A444" s="58"/>
      <c r="B444" s="59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AB444" s="36"/>
      <c r="AC444" s="36"/>
    </row>
    <row r="445" ht="12.75" customHeight="1">
      <c r="A445" s="58"/>
      <c r="B445" s="59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AB445" s="36"/>
      <c r="AC445" s="36"/>
    </row>
    <row r="446" ht="12.75" customHeight="1">
      <c r="A446" s="58"/>
      <c r="B446" s="59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AB446" s="36"/>
      <c r="AC446" s="36"/>
    </row>
    <row r="447" ht="12.75" customHeight="1">
      <c r="A447" s="58"/>
      <c r="B447" s="59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AB447" s="36"/>
      <c r="AC447" s="36"/>
    </row>
    <row r="448" ht="12.75" customHeight="1">
      <c r="A448" s="58"/>
      <c r="B448" s="59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AB448" s="36"/>
      <c r="AC448" s="36"/>
    </row>
    <row r="449" ht="12.75" customHeight="1">
      <c r="A449" s="58"/>
      <c r="B449" s="59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AB449" s="36"/>
      <c r="AC449" s="36"/>
    </row>
    <row r="450" ht="12.75" customHeight="1">
      <c r="A450" s="58"/>
      <c r="B450" s="59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AB450" s="36"/>
      <c r="AC450" s="36"/>
    </row>
    <row r="451" ht="12.75" customHeight="1">
      <c r="A451" s="58"/>
      <c r="B451" s="59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AB451" s="36"/>
      <c r="AC451" s="36"/>
    </row>
    <row r="452" ht="12.75" customHeight="1">
      <c r="A452" s="58"/>
      <c r="B452" s="59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AB452" s="36"/>
      <c r="AC452" s="36"/>
    </row>
    <row r="453" ht="12.75" customHeight="1">
      <c r="A453" s="58"/>
      <c r="B453" s="59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AB453" s="36"/>
      <c r="AC453" s="36"/>
    </row>
    <row r="454" ht="12.75" customHeight="1">
      <c r="A454" s="58"/>
      <c r="B454" s="59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AB454" s="36"/>
      <c r="AC454" s="36"/>
    </row>
    <row r="455" ht="12.75" customHeight="1">
      <c r="A455" s="58"/>
      <c r="B455" s="59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AB455" s="36"/>
      <c r="AC455" s="36"/>
    </row>
    <row r="456" ht="12.75" customHeight="1">
      <c r="A456" s="58"/>
      <c r="B456" s="59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AB456" s="36"/>
      <c r="AC456" s="36"/>
    </row>
    <row r="457" ht="12.75" customHeight="1">
      <c r="A457" s="58"/>
      <c r="B457" s="59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AB457" s="36"/>
      <c r="AC457" s="36"/>
    </row>
    <row r="458" ht="12.75" customHeight="1">
      <c r="A458" s="58"/>
      <c r="B458" s="59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AB458" s="36"/>
      <c r="AC458" s="36"/>
    </row>
    <row r="459" ht="12.75" customHeight="1">
      <c r="A459" s="58"/>
      <c r="B459" s="59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AB459" s="36"/>
      <c r="AC459" s="36"/>
    </row>
    <row r="460" ht="12.75" customHeight="1">
      <c r="A460" s="58"/>
      <c r="B460" s="59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AB460" s="36"/>
      <c r="AC460" s="36"/>
    </row>
    <row r="461" ht="12.75" customHeight="1">
      <c r="A461" s="58"/>
      <c r="B461" s="59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AB461" s="36"/>
      <c r="AC461" s="36"/>
    </row>
    <row r="462" ht="12.75" customHeight="1">
      <c r="A462" s="58"/>
      <c r="B462" s="59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AB462" s="36"/>
      <c r="AC462" s="36"/>
    </row>
    <row r="463" ht="12.75" customHeight="1">
      <c r="A463" s="58"/>
      <c r="B463" s="59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AB463" s="36"/>
      <c r="AC463" s="36"/>
    </row>
    <row r="464" ht="12.75" customHeight="1">
      <c r="A464" s="58"/>
      <c r="B464" s="59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AB464" s="36"/>
      <c r="AC464" s="36"/>
    </row>
    <row r="465" ht="12.75" customHeight="1">
      <c r="A465" s="58"/>
      <c r="B465" s="59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AB465" s="36"/>
      <c r="AC465" s="36"/>
    </row>
    <row r="466" ht="12.75" customHeight="1">
      <c r="A466" s="58"/>
      <c r="B466" s="59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AB466" s="36"/>
      <c r="AC466" s="36"/>
    </row>
    <row r="467" ht="12.75" customHeight="1">
      <c r="A467" s="58"/>
      <c r="B467" s="59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AB467" s="36"/>
      <c r="AC467" s="36"/>
    </row>
    <row r="468" ht="12.75" customHeight="1">
      <c r="A468" s="58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AB468" s="36"/>
      <c r="AC468" s="36"/>
    </row>
    <row r="469" ht="12.75" customHeight="1">
      <c r="A469" s="58"/>
      <c r="B469" s="59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AB469" s="36"/>
      <c r="AC469" s="36"/>
    </row>
    <row r="470" ht="12.75" customHeight="1">
      <c r="A470" s="58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AB470" s="36"/>
      <c r="AC470" s="36"/>
    </row>
    <row r="471" ht="12.75" customHeight="1">
      <c r="A471" s="58"/>
      <c r="B471" s="59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AB471" s="36"/>
      <c r="AC471" s="36"/>
    </row>
    <row r="472" ht="12.75" customHeight="1">
      <c r="A472" s="58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AB472" s="36"/>
      <c r="AC472" s="36"/>
    </row>
    <row r="473" ht="12.75" customHeight="1">
      <c r="A473" s="58"/>
      <c r="B473" s="59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AB473" s="36"/>
      <c r="AC473" s="36"/>
    </row>
    <row r="474" ht="12.75" customHeight="1">
      <c r="A474" s="58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AB474" s="36"/>
      <c r="AC474" s="36"/>
    </row>
    <row r="475" ht="12.75" customHeight="1">
      <c r="A475" s="58"/>
      <c r="B475" s="59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AB475" s="36"/>
      <c r="AC475" s="36"/>
    </row>
    <row r="476" ht="12.75" customHeight="1">
      <c r="A476" s="58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AB476" s="36"/>
      <c r="AC476" s="36"/>
    </row>
    <row r="477" ht="12.75" customHeight="1">
      <c r="A477" s="58"/>
      <c r="B477" s="59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AB477" s="36"/>
      <c r="AC477" s="36"/>
    </row>
    <row r="478" ht="12.75" customHeight="1">
      <c r="A478" s="58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AB478" s="36"/>
      <c r="AC478" s="36"/>
    </row>
    <row r="479" ht="12.75" customHeight="1">
      <c r="A479" s="58"/>
      <c r="B479" s="59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AB479" s="36"/>
      <c r="AC479" s="36"/>
    </row>
    <row r="480" ht="12.75" customHeight="1">
      <c r="A480" s="58"/>
      <c r="B480" s="59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AB480" s="36"/>
      <c r="AC480" s="36"/>
    </row>
    <row r="481" ht="12.75" customHeight="1">
      <c r="A481" s="58"/>
      <c r="B481" s="59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AB481" s="36"/>
      <c r="AC481" s="36"/>
    </row>
    <row r="482" ht="12.75" customHeight="1">
      <c r="A482" s="58"/>
      <c r="B482" s="59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AB482" s="36"/>
      <c r="AC482" s="36"/>
    </row>
    <row r="483" ht="12.75" customHeight="1">
      <c r="A483" s="58"/>
      <c r="B483" s="59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AB483" s="36"/>
      <c r="AC483" s="36"/>
    </row>
    <row r="484" ht="12.75" customHeight="1">
      <c r="A484" s="58"/>
      <c r="B484" s="59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AB484" s="36"/>
      <c r="AC484" s="36"/>
    </row>
    <row r="485" ht="12.75" customHeight="1">
      <c r="A485" s="58"/>
      <c r="B485" s="59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AB485" s="36"/>
      <c r="AC485" s="36"/>
    </row>
    <row r="486" ht="12.75" customHeight="1">
      <c r="A486" s="58"/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AB486" s="36"/>
      <c r="AC486" s="36"/>
    </row>
    <row r="487" ht="12.75" customHeight="1">
      <c r="A487" s="58"/>
      <c r="B487" s="59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AB487" s="36"/>
      <c r="AC487" s="36"/>
    </row>
    <row r="488" ht="12.75" customHeight="1">
      <c r="A488" s="58"/>
      <c r="B488" s="59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AB488" s="36"/>
      <c r="AC488" s="36"/>
    </row>
    <row r="489" ht="12.75" customHeight="1">
      <c r="A489" s="58"/>
      <c r="B489" s="59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AB489" s="36"/>
      <c r="AC489" s="36"/>
    </row>
    <row r="490" ht="12.75" customHeight="1">
      <c r="A490" s="58"/>
      <c r="B490" s="59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AB490" s="36"/>
      <c r="AC490" s="36"/>
    </row>
    <row r="491" ht="12.75" customHeight="1">
      <c r="A491" s="58"/>
      <c r="B491" s="59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AB491" s="36"/>
      <c r="AC491" s="36"/>
    </row>
    <row r="492" ht="12.75" customHeight="1">
      <c r="A492" s="58"/>
      <c r="B492" s="59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AB492" s="36"/>
      <c r="AC492" s="36"/>
    </row>
    <row r="493" ht="12.75" customHeight="1">
      <c r="A493" s="58"/>
      <c r="B493" s="59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AB493" s="36"/>
      <c r="AC493" s="36"/>
    </row>
    <row r="494" ht="12.75" customHeight="1">
      <c r="A494" s="58"/>
      <c r="B494" s="59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AB494" s="36"/>
      <c r="AC494" s="36"/>
    </row>
    <row r="495" ht="12.75" customHeight="1">
      <c r="A495" s="58"/>
      <c r="B495" s="59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AB495" s="36"/>
      <c r="AC495" s="36"/>
    </row>
    <row r="496" ht="12.75" customHeight="1">
      <c r="A496" s="58"/>
      <c r="B496" s="59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AB496" s="36"/>
      <c r="AC496" s="36"/>
    </row>
    <row r="497" ht="12.75" customHeight="1">
      <c r="A497" s="58"/>
      <c r="B497" s="59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AB497" s="36"/>
      <c r="AC497" s="36"/>
    </row>
    <row r="498" ht="12.75" customHeight="1">
      <c r="A498" s="58"/>
      <c r="B498" s="59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AB498" s="36"/>
      <c r="AC498" s="36"/>
    </row>
    <row r="499" ht="12.75" customHeight="1">
      <c r="A499" s="58"/>
      <c r="B499" s="59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AB499" s="36"/>
      <c r="AC499" s="36"/>
    </row>
    <row r="500" ht="12.75" customHeight="1">
      <c r="A500" s="58"/>
      <c r="B500" s="59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AB500" s="36"/>
      <c r="AC500" s="36"/>
    </row>
    <row r="501" ht="12.75" customHeight="1">
      <c r="A501" s="58"/>
      <c r="B501" s="59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AB501" s="36"/>
      <c r="AC501" s="36"/>
    </row>
    <row r="502" ht="12.75" customHeight="1">
      <c r="A502" s="58"/>
      <c r="B502" s="59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AB502" s="36"/>
      <c r="AC502" s="36"/>
    </row>
    <row r="503" ht="12.75" customHeight="1">
      <c r="A503" s="58"/>
      <c r="B503" s="59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AB503" s="36"/>
      <c r="AC503" s="36"/>
    </row>
    <row r="504" ht="12.75" customHeight="1">
      <c r="A504" s="58"/>
      <c r="B504" s="59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AB504" s="36"/>
      <c r="AC504" s="36"/>
    </row>
    <row r="505" ht="12.75" customHeight="1">
      <c r="A505" s="58"/>
      <c r="B505" s="59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AB505" s="36"/>
      <c r="AC505" s="36"/>
    </row>
    <row r="506" ht="12.75" customHeight="1">
      <c r="A506" s="58"/>
      <c r="B506" s="59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AB506" s="36"/>
      <c r="AC506" s="36"/>
    </row>
    <row r="507" ht="12.75" customHeight="1">
      <c r="A507" s="58"/>
      <c r="B507" s="59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AB507" s="36"/>
      <c r="AC507" s="36"/>
    </row>
    <row r="508" ht="12.75" customHeight="1">
      <c r="A508" s="58"/>
      <c r="B508" s="59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AB508" s="36"/>
      <c r="AC508" s="36"/>
    </row>
    <row r="509" ht="12.75" customHeight="1">
      <c r="A509" s="58"/>
      <c r="B509" s="59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AB509" s="36"/>
      <c r="AC509" s="36"/>
    </row>
    <row r="510" ht="12.75" customHeight="1">
      <c r="A510" s="58"/>
      <c r="B510" s="59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AB510" s="36"/>
      <c r="AC510" s="36"/>
    </row>
    <row r="511" ht="12.75" customHeight="1">
      <c r="A511" s="58"/>
      <c r="B511" s="59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AB511" s="36"/>
      <c r="AC511" s="36"/>
    </row>
    <row r="512" ht="12.75" customHeight="1">
      <c r="A512" s="58"/>
      <c r="B512" s="59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AB512" s="36"/>
      <c r="AC512" s="36"/>
    </row>
    <row r="513" ht="12.75" customHeight="1">
      <c r="A513" s="58"/>
      <c r="B513" s="59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AB513" s="36"/>
      <c r="AC513" s="36"/>
    </row>
    <row r="514" ht="12.75" customHeight="1">
      <c r="A514" s="58"/>
      <c r="B514" s="59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AB514" s="36"/>
      <c r="AC514" s="36"/>
    </row>
    <row r="515" ht="12.75" customHeight="1">
      <c r="A515" s="58"/>
      <c r="B515" s="59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AB515" s="36"/>
      <c r="AC515" s="36"/>
    </row>
    <row r="516" ht="12.75" customHeight="1">
      <c r="A516" s="58"/>
      <c r="B516" s="59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AB516" s="36"/>
      <c r="AC516" s="36"/>
    </row>
    <row r="517" ht="12.75" customHeight="1">
      <c r="A517" s="58"/>
      <c r="B517" s="59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AB517" s="36"/>
      <c r="AC517" s="36"/>
    </row>
    <row r="518" ht="12.75" customHeight="1">
      <c r="A518" s="58"/>
      <c r="B518" s="59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AB518" s="36"/>
      <c r="AC518" s="36"/>
    </row>
    <row r="519" ht="12.75" customHeight="1">
      <c r="A519" s="58"/>
      <c r="B519" s="59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AB519" s="36"/>
      <c r="AC519" s="36"/>
    </row>
    <row r="520" ht="12.75" customHeight="1">
      <c r="A520" s="58"/>
      <c r="B520" s="59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AB520" s="36"/>
      <c r="AC520" s="36"/>
    </row>
    <row r="521" ht="12.75" customHeight="1">
      <c r="A521" s="58"/>
      <c r="B521" s="59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AB521" s="36"/>
      <c r="AC521" s="36"/>
    </row>
    <row r="522" ht="12.75" customHeight="1">
      <c r="A522" s="58"/>
      <c r="B522" s="59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AB522" s="36"/>
      <c r="AC522" s="36"/>
    </row>
    <row r="523" ht="12.75" customHeight="1">
      <c r="A523" s="58"/>
      <c r="B523" s="59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AB523" s="36"/>
      <c r="AC523" s="36"/>
    </row>
    <row r="524" ht="12.75" customHeight="1">
      <c r="A524" s="58"/>
      <c r="B524" s="59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AB524" s="36"/>
      <c r="AC524" s="36"/>
    </row>
    <row r="525" ht="12.75" customHeight="1">
      <c r="A525" s="58"/>
      <c r="B525" s="59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AB525" s="36"/>
      <c r="AC525" s="36"/>
    </row>
    <row r="526" ht="12.75" customHeight="1">
      <c r="A526" s="58"/>
      <c r="B526" s="59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AB526" s="36"/>
      <c r="AC526" s="36"/>
    </row>
    <row r="527" ht="12.75" customHeight="1">
      <c r="A527" s="58"/>
      <c r="B527" s="59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AB527" s="36"/>
      <c r="AC527" s="36"/>
    </row>
    <row r="528" ht="12.75" customHeight="1">
      <c r="A528" s="58"/>
      <c r="B528" s="59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AB528" s="36"/>
      <c r="AC528" s="36"/>
    </row>
    <row r="529" ht="12.75" customHeight="1">
      <c r="A529" s="58"/>
      <c r="B529" s="59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AB529" s="36"/>
      <c r="AC529" s="36"/>
    </row>
    <row r="530" ht="12.75" customHeight="1">
      <c r="A530" s="58"/>
      <c r="B530" s="59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AB530" s="36"/>
      <c r="AC530" s="36"/>
    </row>
    <row r="531" ht="12.75" customHeight="1">
      <c r="A531" s="58"/>
      <c r="B531" s="59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AB531" s="36"/>
      <c r="AC531" s="36"/>
    </row>
    <row r="532" ht="12.75" customHeight="1">
      <c r="A532" s="58"/>
      <c r="B532" s="59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AB532" s="36"/>
      <c r="AC532" s="36"/>
    </row>
    <row r="533" ht="12.75" customHeight="1">
      <c r="A533" s="58"/>
      <c r="B533" s="59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AB533" s="36"/>
      <c r="AC533" s="36"/>
    </row>
    <row r="534" ht="12.75" customHeight="1">
      <c r="A534" s="58"/>
      <c r="B534" s="59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AB534" s="36"/>
      <c r="AC534" s="36"/>
    </row>
    <row r="535" ht="12.75" customHeight="1">
      <c r="A535" s="58"/>
      <c r="B535" s="59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AB535" s="36"/>
      <c r="AC535" s="36"/>
    </row>
    <row r="536" ht="12.75" customHeight="1">
      <c r="A536" s="58"/>
      <c r="B536" s="59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AB536" s="36"/>
      <c r="AC536" s="36"/>
    </row>
    <row r="537" ht="12.75" customHeight="1">
      <c r="A537" s="58"/>
      <c r="B537" s="59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AB537" s="36"/>
      <c r="AC537" s="36"/>
    </row>
    <row r="538" ht="12.75" customHeight="1">
      <c r="A538" s="58"/>
      <c r="B538" s="59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AB538" s="36"/>
      <c r="AC538" s="36"/>
    </row>
    <row r="539" ht="12.75" customHeight="1">
      <c r="A539" s="58"/>
      <c r="B539" s="59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AB539" s="36"/>
      <c r="AC539" s="36"/>
    </row>
    <row r="540" ht="12.75" customHeight="1">
      <c r="A540" s="58"/>
      <c r="B540" s="59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AB540" s="36"/>
      <c r="AC540" s="36"/>
    </row>
    <row r="541" ht="12.75" customHeight="1">
      <c r="A541" s="58"/>
      <c r="B541" s="59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AB541" s="36"/>
      <c r="AC541" s="36"/>
    </row>
    <row r="542" ht="12.75" customHeight="1">
      <c r="A542" s="58"/>
      <c r="B542" s="59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AB542" s="36"/>
      <c r="AC542" s="36"/>
    </row>
    <row r="543" ht="12.75" customHeight="1">
      <c r="A543" s="58"/>
      <c r="B543" s="59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AB543" s="36"/>
      <c r="AC543" s="36"/>
    </row>
    <row r="544" ht="12.75" customHeight="1">
      <c r="A544" s="58"/>
      <c r="B544" s="59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AB544" s="36"/>
      <c r="AC544" s="36"/>
    </row>
    <row r="545" ht="12.75" customHeight="1">
      <c r="A545" s="58"/>
      <c r="B545" s="59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AB545" s="36"/>
      <c r="AC545" s="36"/>
    </row>
    <row r="546" ht="12.75" customHeight="1">
      <c r="A546" s="58"/>
      <c r="B546" s="59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AB546" s="36"/>
      <c r="AC546" s="36"/>
    </row>
    <row r="547" ht="12.75" customHeight="1">
      <c r="A547" s="58"/>
      <c r="B547" s="59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AB547" s="36"/>
      <c r="AC547" s="36"/>
    </row>
    <row r="548" ht="12.75" customHeight="1">
      <c r="A548" s="58"/>
      <c r="B548" s="59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AB548" s="36"/>
      <c r="AC548" s="36"/>
    </row>
    <row r="549" ht="12.75" customHeight="1">
      <c r="A549" s="58"/>
      <c r="B549" s="59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AB549" s="36"/>
      <c r="AC549" s="36"/>
    </row>
    <row r="550" ht="12.75" customHeight="1">
      <c r="A550" s="58"/>
      <c r="B550" s="59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AB550" s="36"/>
      <c r="AC550" s="36"/>
    </row>
    <row r="551" ht="12.75" customHeight="1">
      <c r="A551" s="58"/>
      <c r="B551" s="59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AB551" s="36"/>
      <c r="AC551" s="36"/>
    </row>
    <row r="552" ht="12.75" customHeight="1">
      <c r="A552" s="58"/>
      <c r="B552" s="59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AB552" s="36"/>
      <c r="AC552" s="36"/>
    </row>
    <row r="553" ht="12.75" customHeight="1">
      <c r="A553" s="58"/>
      <c r="B553" s="59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AB553" s="36"/>
      <c r="AC553" s="36"/>
    </row>
    <row r="554" ht="12.75" customHeight="1">
      <c r="A554" s="58"/>
      <c r="B554" s="59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AB554" s="36"/>
      <c r="AC554" s="36"/>
    </row>
    <row r="555" ht="12.75" customHeight="1">
      <c r="A555" s="58"/>
      <c r="B555" s="59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AB555" s="36"/>
      <c r="AC555" s="36"/>
    </row>
    <row r="556" ht="12.75" customHeight="1">
      <c r="A556" s="58"/>
      <c r="B556" s="59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AB556" s="36"/>
      <c r="AC556" s="36"/>
    </row>
    <row r="557" ht="12.75" customHeight="1">
      <c r="A557" s="58"/>
      <c r="B557" s="59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AB557" s="36"/>
      <c r="AC557" s="36"/>
    </row>
    <row r="558" ht="12.75" customHeight="1">
      <c r="A558" s="58"/>
      <c r="B558" s="59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AB558" s="36"/>
      <c r="AC558" s="36"/>
    </row>
    <row r="559" ht="12.75" customHeight="1">
      <c r="A559" s="58"/>
      <c r="B559" s="59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AB559" s="36"/>
      <c r="AC559" s="36"/>
    </row>
    <row r="560" ht="12.75" customHeight="1">
      <c r="A560" s="58"/>
      <c r="B560" s="59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AB560" s="36"/>
      <c r="AC560" s="36"/>
    </row>
    <row r="561" ht="12.75" customHeight="1">
      <c r="A561" s="58"/>
      <c r="B561" s="59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AB561" s="36"/>
      <c r="AC561" s="36"/>
    </row>
    <row r="562" ht="12.75" customHeight="1">
      <c r="A562" s="58"/>
      <c r="B562" s="59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AB562" s="36"/>
      <c r="AC562" s="36"/>
    </row>
    <row r="563" ht="12.75" customHeight="1">
      <c r="A563" s="58"/>
      <c r="B563" s="59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AB563" s="36"/>
      <c r="AC563" s="36"/>
    </row>
    <row r="564" ht="12.75" customHeight="1">
      <c r="A564" s="58"/>
      <c r="B564" s="59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AB564" s="36"/>
      <c r="AC564" s="36"/>
    </row>
    <row r="565" ht="12.75" customHeight="1">
      <c r="A565" s="58"/>
      <c r="B565" s="59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AB565" s="36"/>
      <c r="AC565" s="36"/>
    </row>
    <row r="566" ht="12.75" customHeight="1">
      <c r="A566" s="58"/>
      <c r="B566" s="59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AB566" s="36"/>
      <c r="AC566" s="36"/>
    </row>
    <row r="567" ht="12.75" customHeight="1">
      <c r="A567" s="58"/>
      <c r="B567" s="59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AB567" s="36"/>
      <c r="AC567" s="36"/>
    </row>
    <row r="568" ht="12.75" customHeight="1">
      <c r="A568" s="58"/>
      <c r="B568" s="59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AB568" s="36"/>
      <c r="AC568" s="36"/>
    </row>
    <row r="569" ht="12.75" customHeight="1">
      <c r="A569" s="58"/>
      <c r="B569" s="59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AB569" s="36"/>
      <c r="AC569" s="36"/>
    </row>
    <row r="570" ht="12.75" customHeight="1">
      <c r="A570" s="58"/>
      <c r="B570" s="59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AB570" s="36"/>
      <c r="AC570" s="36"/>
    </row>
    <row r="571" ht="12.75" customHeight="1">
      <c r="A571" s="58"/>
      <c r="B571" s="59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AB571" s="36"/>
      <c r="AC571" s="36"/>
    </row>
    <row r="572" ht="12.75" customHeight="1">
      <c r="A572" s="58"/>
      <c r="B572" s="59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AB572" s="36"/>
      <c r="AC572" s="36"/>
    </row>
    <row r="573" ht="12.75" customHeight="1">
      <c r="A573" s="58"/>
      <c r="B573" s="59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AB573" s="36"/>
      <c r="AC573" s="36"/>
    </row>
    <row r="574" ht="12.75" customHeight="1">
      <c r="A574" s="58"/>
      <c r="B574" s="59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AB574" s="36"/>
      <c r="AC574" s="36"/>
    </row>
    <row r="575" ht="12.75" customHeight="1">
      <c r="A575" s="58"/>
      <c r="B575" s="59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AB575" s="36"/>
      <c r="AC575" s="36"/>
    </row>
    <row r="576" ht="12.75" customHeight="1">
      <c r="A576" s="58"/>
      <c r="B576" s="59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AB576" s="36"/>
      <c r="AC576" s="36"/>
    </row>
    <row r="577" ht="12.75" customHeight="1">
      <c r="A577" s="58"/>
      <c r="B577" s="59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AB577" s="36"/>
      <c r="AC577" s="36"/>
    </row>
    <row r="578" ht="12.75" customHeight="1">
      <c r="A578" s="58"/>
      <c r="B578" s="59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AB578" s="36"/>
      <c r="AC578" s="36"/>
    </row>
    <row r="579" ht="12.75" customHeight="1">
      <c r="A579" s="58"/>
      <c r="B579" s="59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AB579" s="36"/>
      <c r="AC579" s="36"/>
    </row>
    <row r="580" ht="12.75" customHeight="1">
      <c r="A580" s="58"/>
      <c r="B580" s="59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AB580" s="36"/>
      <c r="AC580" s="36"/>
    </row>
    <row r="581" ht="12.75" customHeight="1">
      <c r="A581" s="58"/>
      <c r="B581" s="59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AB581" s="36"/>
      <c r="AC581" s="36"/>
    </row>
    <row r="582" ht="12.75" customHeight="1">
      <c r="A582" s="58"/>
      <c r="B582" s="59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AB582" s="36"/>
      <c r="AC582" s="36"/>
    </row>
    <row r="583" ht="12.75" customHeight="1">
      <c r="A583" s="58"/>
      <c r="B583" s="59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AB583" s="36"/>
      <c r="AC583" s="36"/>
    </row>
    <row r="584" ht="12.75" customHeight="1">
      <c r="A584" s="58"/>
      <c r="B584" s="59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AB584" s="36"/>
      <c r="AC584" s="36"/>
    </row>
    <row r="585" ht="12.75" customHeight="1">
      <c r="A585" s="58"/>
      <c r="B585" s="59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AB585" s="36"/>
      <c r="AC585" s="36"/>
    </row>
    <row r="586" ht="12.75" customHeight="1">
      <c r="A586" s="58"/>
      <c r="B586" s="59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AB586" s="36"/>
      <c r="AC586" s="36"/>
    </row>
    <row r="587" ht="12.75" customHeight="1">
      <c r="A587" s="58"/>
      <c r="B587" s="59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AB587" s="36"/>
      <c r="AC587" s="36"/>
    </row>
    <row r="588" ht="12.75" customHeight="1">
      <c r="A588" s="58"/>
      <c r="B588" s="59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AB588" s="36"/>
      <c r="AC588" s="36"/>
    </row>
    <row r="589" ht="12.75" customHeight="1">
      <c r="A589" s="58"/>
      <c r="B589" s="59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AB589" s="36"/>
      <c r="AC589" s="36"/>
    </row>
    <row r="590" ht="12.75" customHeight="1">
      <c r="A590" s="58"/>
      <c r="B590" s="59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AB590" s="36"/>
      <c r="AC590" s="36"/>
    </row>
    <row r="591" ht="12.75" customHeight="1">
      <c r="A591" s="58"/>
      <c r="B591" s="59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AB591" s="36"/>
      <c r="AC591" s="36"/>
    </row>
    <row r="592" ht="12.75" customHeight="1">
      <c r="A592" s="58"/>
      <c r="B592" s="59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AB592" s="36"/>
      <c r="AC592" s="36"/>
    </row>
    <row r="593" ht="12.75" customHeight="1">
      <c r="A593" s="58"/>
      <c r="B593" s="59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AB593" s="36"/>
      <c r="AC593" s="36"/>
    </row>
    <row r="594" ht="12.75" customHeight="1">
      <c r="A594" s="58"/>
      <c r="B594" s="59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AB594" s="36"/>
      <c r="AC594" s="36"/>
    </row>
    <row r="595" ht="12.75" customHeight="1">
      <c r="A595" s="58"/>
      <c r="B595" s="59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AB595" s="36"/>
      <c r="AC595" s="36"/>
    </row>
    <row r="596" ht="12.75" customHeight="1">
      <c r="A596" s="58"/>
      <c r="B596" s="59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AB596" s="36"/>
      <c r="AC596" s="36"/>
    </row>
    <row r="597" ht="12.75" customHeight="1">
      <c r="A597" s="58"/>
      <c r="B597" s="59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AB597" s="36"/>
      <c r="AC597" s="36"/>
    </row>
    <row r="598" ht="12.75" customHeight="1">
      <c r="A598" s="58"/>
      <c r="B598" s="59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AB598" s="36"/>
      <c r="AC598" s="36"/>
    </row>
    <row r="599" ht="12.75" customHeight="1">
      <c r="A599" s="58"/>
      <c r="B599" s="59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AB599" s="36"/>
      <c r="AC599" s="36"/>
    </row>
    <row r="600" ht="12.75" customHeight="1">
      <c r="A600" s="58"/>
      <c r="B600" s="59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AB600" s="36"/>
      <c r="AC600" s="36"/>
    </row>
    <row r="601" ht="12.75" customHeight="1">
      <c r="A601" s="58"/>
      <c r="B601" s="59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AB601" s="36"/>
      <c r="AC601" s="36"/>
    </row>
    <row r="602" ht="12.75" customHeight="1">
      <c r="A602" s="58"/>
      <c r="B602" s="59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AB602" s="36"/>
      <c r="AC602" s="36"/>
    </row>
    <row r="603" ht="12.75" customHeight="1">
      <c r="A603" s="58"/>
      <c r="B603" s="59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AB603" s="36"/>
      <c r="AC603" s="36"/>
    </row>
    <row r="604" ht="12.75" customHeight="1">
      <c r="A604" s="58"/>
      <c r="B604" s="59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AB604" s="36"/>
      <c r="AC604" s="36"/>
    </row>
    <row r="605" ht="12.75" customHeight="1">
      <c r="A605" s="58"/>
      <c r="B605" s="59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AB605" s="36"/>
      <c r="AC605" s="36"/>
    </row>
    <row r="606" ht="12.75" customHeight="1">
      <c r="A606" s="58"/>
      <c r="B606" s="59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AB606" s="36"/>
      <c r="AC606" s="36"/>
    </row>
    <row r="607" ht="12.75" customHeight="1">
      <c r="A607" s="58"/>
      <c r="B607" s="59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AB607" s="36"/>
      <c r="AC607" s="36"/>
    </row>
    <row r="608" ht="12.75" customHeight="1">
      <c r="A608" s="58"/>
      <c r="B608" s="59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AB608" s="36"/>
      <c r="AC608" s="36"/>
    </row>
    <row r="609" ht="12.75" customHeight="1">
      <c r="A609" s="58"/>
      <c r="B609" s="59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AB609" s="36"/>
      <c r="AC609" s="36"/>
    </row>
    <row r="610" ht="12.75" customHeight="1">
      <c r="A610" s="58"/>
      <c r="B610" s="59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AB610" s="36"/>
      <c r="AC610" s="36"/>
    </row>
    <row r="611" ht="12.75" customHeight="1">
      <c r="A611" s="58"/>
      <c r="B611" s="59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AB611" s="36"/>
      <c r="AC611" s="36"/>
    </row>
    <row r="612" ht="12.75" customHeight="1">
      <c r="A612" s="58"/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AB612" s="36"/>
      <c r="AC612" s="36"/>
    </row>
    <row r="613" ht="12.75" customHeight="1">
      <c r="A613" s="58"/>
      <c r="B613" s="59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AB613" s="36"/>
      <c r="AC613" s="36"/>
    </row>
    <row r="614" ht="12.75" customHeight="1">
      <c r="A614" s="58"/>
      <c r="B614" s="59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AB614" s="36"/>
      <c r="AC614" s="36"/>
    </row>
    <row r="615" ht="12.75" customHeight="1">
      <c r="A615" s="58"/>
      <c r="B615" s="59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AB615" s="36"/>
      <c r="AC615" s="36"/>
    </row>
    <row r="616" ht="12.75" customHeight="1">
      <c r="A616" s="58"/>
      <c r="B616" s="59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AB616" s="36"/>
      <c r="AC616" s="36"/>
    </row>
    <row r="617" ht="12.75" customHeight="1">
      <c r="A617" s="58"/>
      <c r="B617" s="59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AB617" s="36"/>
      <c r="AC617" s="36"/>
    </row>
    <row r="618" ht="12.75" customHeight="1">
      <c r="A618" s="58"/>
      <c r="B618" s="59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AB618" s="36"/>
      <c r="AC618" s="36"/>
    </row>
    <row r="619" ht="12.75" customHeight="1">
      <c r="A619" s="58"/>
      <c r="B619" s="59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AB619" s="36"/>
      <c r="AC619" s="36"/>
    </row>
    <row r="620" ht="12.75" customHeight="1">
      <c r="A620" s="58"/>
      <c r="B620" s="59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AB620" s="36"/>
      <c r="AC620" s="36"/>
    </row>
    <row r="621" ht="12.75" customHeight="1">
      <c r="A621" s="58"/>
      <c r="B621" s="59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AB621" s="36"/>
      <c r="AC621" s="36"/>
    </row>
    <row r="622" ht="12.75" customHeight="1">
      <c r="A622" s="58"/>
      <c r="B622" s="59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AB622" s="36"/>
      <c r="AC622" s="36"/>
    </row>
    <row r="623" ht="12.75" customHeight="1">
      <c r="A623" s="58"/>
      <c r="B623" s="59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AB623" s="36"/>
      <c r="AC623" s="36"/>
    </row>
    <row r="624" ht="12.75" customHeight="1">
      <c r="A624" s="58"/>
      <c r="B624" s="59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AB624" s="36"/>
      <c r="AC624" s="36"/>
    </row>
    <row r="625" ht="12.75" customHeight="1">
      <c r="A625" s="58"/>
      <c r="B625" s="59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AB625" s="36"/>
      <c r="AC625" s="36"/>
    </row>
    <row r="626" ht="12.75" customHeight="1">
      <c r="A626" s="58"/>
      <c r="B626" s="59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AB626" s="36"/>
      <c r="AC626" s="36"/>
    </row>
    <row r="627" ht="12.75" customHeight="1">
      <c r="A627" s="58"/>
      <c r="B627" s="59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AB627" s="36"/>
      <c r="AC627" s="36"/>
    </row>
    <row r="628" ht="12.75" customHeight="1">
      <c r="A628" s="58"/>
      <c r="B628" s="59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AB628" s="36"/>
      <c r="AC628" s="36"/>
    </row>
    <row r="629" ht="12.75" customHeight="1">
      <c r="A629" s="58"/>
      <c r="B629" s="59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AB629" s="36"/>
      <c r="AC629" s="36"/>
    </row>
    <row r="630" ht="12.75" customHeight="1">
      <c r="A630" s="58"/>
      <c r="B630" s="59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AB630" s="36"/>
      <c r="AC630" s="36"/>
    </row>
    <row r="631" ht="12.75" customHeight="1">
      <c r="A631" s="58"/>
      <c r="B631" s="59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AB631" s="36"/>
      <c r="AC631" s="36"/>
    </row>
    <row r="632" ht="12.75" customHeight="1">
      <c r="A632" s="58"/>
      <c r="B632" s="59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AB632" s="36"/>
      <c r="AC632" s="36"/>
    </row>
    <row r="633" ht="12.75" customHeight="1">
      <c r="A633" s="58"/>
      <c r="B633" s="59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AB633" s="36"/>
      <c r="AC633" s="36"/>
    </row>
    <row r="634" ht="12.75" customHeight="1">
      <c r="A634" s="58"/>
      <c r="B634" s="59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AB634" s="36"/>
      <c r="AC634" s="36"/>
    </row>
    <row r="635" ht="12.75" customHeight="1">
      <c r="A635" s="58"/>
      <c r="B635" s="59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AB635" s="36"/>
      <c r="AC635" s="36"/>
    </row>
    <row r="636" ht="12.75" customHeight="1">
      <c r="A636" s="58"/>
      <c r="B636" s="59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AB636" s="36"/>
      <c r="AC636" s="36"/>
    </row>
    <row r="637" ht="12.75" customHeight="1">
      <c r="A637" s="58"/>
      <c r="B637" s="59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AB637" s="36"/>
      <c r="AC637" s="36"/>
    </row>
    <row r="638" ht="12.75" customHeight="1">
      <c r="A638" s="58"/>
      <c r="B638" s="59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AB638" s="36"/>
      <c r="AC638" s="36"/>
    </row>
    <row r="639" ht="12.75" customHeight="1">
      <c r="A639" s="58"/>
      <c r="B639" s="59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AB639" s="36"/>
      <c r="AC639" s="36"/>
    </row>
    <row r="640" ht="12.75" customHeight="1">
      <c r="A640" s="58"/>
      <c r="B640" s="59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AB640" s="36"/>
      <c r="AC640" s="36"/>
    </row>
    <row r="641" ht="12.75" customHeight="1">
      <c r="A641" s="58"/>
      <c r="B641" s="59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AB641" s="36"/>
      <c r="AC641" s="36"/>
    </row>
    <row r="642" ht="12.75" customHeight="1">
      <c r="A642" s="58"/>
      <c r="B642" s="59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AB642" s="36"/>
      <c r="AC642" s="36"/>
    </row>
    <row r="643" ht="12.75" customHeight="1">
      <c r="A643" s="58"/>
      <c r="B643" s="59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AB643" s="36"/>
      <c r="AC643" s="36"/>
    </row>
    <row r="644" ht="12.75" customHeight="1">
      <c r="A644" s="58"/>
      <c r="B644" s="59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AB644" s="36"/>
      <c r="AC644" s="36"/>
    </row>
    <row r="645" ht="12.75" customHeight="1">
      <c r="A645" s="58"/>
      <c r="B645" s="59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AB645" s="36"/>
      <c r="AC645" s="36"/>
    </row>
    <row r="646" ht="12.75" customHeight="1">
      <c r="A646" s="58"/>
      <c r="B646" s="59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AB646" s="36"/>
      <c r="AC646" s="36"/>
    </row>
    <row r="647" ht="12.75" customHeight="1">
      <c r="A647" s="58"/>
      <c r="B647" s="59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AB647" s="36"/>
      <c r="AC647" s="36"/>
    </row>
    <row r="648" ht="12.75" customHeight="1">
      <c r="A648" s="58"/>
      <c r="B648" s="59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AB648" s="36"/>
      <c r="AC648" s="36"/>
    </row>
    <row r="649" ht="12.75" customHeight="1">
      <c r="A649" s="58"/>
      <c r="B649" s="59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AB649" s="36"/>
      <c r="AC649" s="36"/>
    </row>
    <row r="650" ht="12.75" customHeight="1">
      <c r="A650" s="58"/>
      <c r="B650" s="59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AB650" s="36"/>
      <c r="AC650" s="36"/>
    </row>
    <row r="651" ht="12.75" customHeight="1">
      <c r="A651" s="58"/>
      <c r="B651" s="59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AB651" s="36"/>
      <c r="AC651" s="36"/>
    </row>
    <row r="652" ht="12.75" customHeight="1">
      <c r="A652" s="58"/>
      <c r="B652" s="59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AB652" s="36"/>
      <c r="AC652" s="36"/>
    </row>
    <row r="653" ht="12.75" customHeight="1">
      <c r="A653" s="58"/>
      <c r="B653" s="59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AB653" s="36"/>
      <c r="AC653" s="36"/>
    </row>
    <row r="654" ht="12.75" customHeight="1">
      <c r="A654" s="58"/>
      <c r="B654" s="59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AB654" s="36"/>
      <c r="AC654" s="36"/>
    </row>
    <row r="655" ht="12.75" customHeight="1">
      <c r="A655" s="58"/>
      <c r="B655" s="59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AB655" s="36"/>
      <c r="AC655" s="36"/>
    </row>
    <row r="656" ht="12.75" customHeight="1">
      <c r="A656" s="58"/>
      <c r="B656" s="59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AB656" s="36"/>
      <c r="AC656" s="36"/>
    </row>
    <row r="657" ht="12.75" customHeight="1">
      <c r="A657" s="58"/>
      <c r="B657" s="59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AB657" s="36"/>
      <c r="AC657" s="36"/>
    </row>
    <row r="658" ht="12.75" customHeight="1">
      <c r="A658" s="58"/>
      <c r="B658" s="59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AB658" s="36"/>
      <c r="AC658" s="36"/>
    </row>
    <row r="659" ht="12.75" customHeight="1">
      <c r="A659" s="58"/>
      <c r="B659" s="59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AB659" s="36"/>
      <c r="AC659" s="36"/>
    </row>
    <row r="660" ht="12.75" customHeight="1">
      <c r="A660" s="58"/>
      <c r="B660" s="59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AB660" s="36"/>
      <c r="AC660" s="36"/>
    </row>
    <row r="661" ht="12.75" customHeight="1">
      <c r="A661" s="58"/>
      <c r="B661" s="59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AB661" s="36"/>
      <c r="AC661" s="36"/>
    </row>
    <row r="662" ht="12.75" customHeight="1">
      <c r="A662" s="58"/>
      <c r="B662" s="59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AB662" s="36"/>
      <c r="AC662" s="36"/>
    </row>
    <row r="663" ht="12.75" customHeight="1">
      <c r="A663" s="58"/>
      <c r="B663" s="59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AB663" s="36"/>
      <c r="AC663" s="36"/>
    </row>
    <row r="664" ht="12.75" customHeight="1">
      <c r="A664" s="58"/>
      <c r="B664" s="59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AB664" s="36"/>
      <c r="AC664" s="36"/>
    </row>
    <row r="665" ht="12.75" customHeight="1">
      <c r="A665" s="58"/>
      <c r="B665" s="59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AB665" s="36"/>
      <c r="AC665" s="36"/>
    </row>
    <row r="666" ht="12.75" customHeight="1">
      <c r="A666" s="58"/>
      <c r="B666" s="59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AB666" s="36"/>
      <c r="AC666" s="36"/>
    </row>
    <row r="667" ht="12.75" customHeight="1">
      <c r="A667" s="58"/>
      <c r="B667" s="59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AB667" s="36"/>
      <c r="AC667" s="36"/>
    </row>
    <row r="668" ht="12.75" customHeight="1">
      <c r="A668" s="58"/>
      <c r="B668" s="59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AB668" s="36"/>
      <c r="AC668" s="36"/>
    </row>
    <row r="669" ht="12.75" customHeight="1">
      <c r="A669" s="58"/>
      <c r="B669" s="59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AB669" s="36"/>
      <c r="AC669" s="36"/>
    </row>
    <row r="670" ht="12.75" customHeight="1">
      <c r="A670" s="58"/>
      <c r="B670" s="59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AB670" s="36"/>
      <c r="AC670" s="36"/>
    </row>
    <row r="671" ht="12.75" customHeight="1">
      <c r="A671" s="58"/>
      <c r="B671" s="59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AB671" s="36"/>
      <c r="AC671" s="36"/>
    </row>
    <row r="672" ht="12.75" customHeight="1">
      <c r="A672" s="58"/>
      <c r="B672" s="59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AB672" s="36"/>
      <c r="AC672" s="36"/>
    </row>
    <row r="673" ht="12.75" customHeight="1">
      <c r="A673" s="58"/>
      <c r="B673" s="59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AB673" s="36"/>
      <c r="AC673" s="36"/>
    </row>
    <row r="674" ht="12.75" customHeight="1">
      <c r="A674" s="58"/>
      <c r="B674" s="59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AB674" s="36"/>
      <c r="AC674" s="36"/>
    </row>
    <row r="675" ht="12.75" customHeight="1">
      <c r="A675" s="58"/>
      <c r="B675" s="59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AB675" s="36"/>
      <c r="AC675" s="36"/>
    </row>
    <row r="676" ht="12.75" customHeight="1">
      <c r="A676" s="58"/>
      <c r="B676" s="59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AB676" s="36"/>
      <c r="AC676" s="36"/>
    </row>
    <row r="677" ht="12.75" customHeight="1">
      <c r="A677" s="58"/>
      <c r="B677" s="59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AB677" s="36"/>
      <c r="AC677" s="36"/>
    </row>
    <row r="678" ht="12.75" customHeight="1">
      <c r="A678" s="58"/>
      <c r="B678" s="59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AB678" s="36"/>
      <c r="AC678" s="36"/>
    </row>
    <row r="679" ht="12.75" customHeight="1">
      <c r="A679" s="58"/>
      <c r="B679" s="59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AB679" s="36"/>
      <c r="AC679" s="36"/>
    </row>
    <row r="680" ht="12.75" customHeight="1">
      <c r="A680" s="58"/>
      <c r="B680" s="59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AB680" s="36"/>
      <c r="AC680" s="36"/>
    </row>
    <row r="681" ht="12.75" customHeight="1">
      <c r="A681" s="58"/>
      <c r="B681" s="59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AB681" s="36"/>
      <c r="AC681" s="36"/>
    </row>
    <row r="682" ht="12.75" customHeight="1">
      <c r="A682" s="58"/>
      <c r="B682" s="59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AB682" s="36"/>
      <c r="AC682" s="36"/>
    </row>
    <row r="683" ht="12.75" customHeight="1">
      <c r="A683" s="58"/>
      <c r="B683" s="59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AB683" s="36"/>
      <c r="AC683" s="36"/>
    </row>
    <row r="684" ht="12.75" customHeight="1">
      <c r="A684" s="58"/>
      <c r="B684" s="59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AB684" s="36"/>
      <c r="AC684" s="36"/>
    </row>
    <row r="685" ht="12.75" customHeight="1">
      <c r="A685" s="58"/>
      <c r="B685" s="59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AB685" s="36"/>
      <c r="AC685" s="36"/>
    </row>
    <row r="686" ht="12.75" customHeight="1">
      <c r="A686" s="58"/>
      <c r="B686" s="59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AB686" s="36"/>
      <c r="AC686" s="36"/>
    </row>
    <row r="687" ht="12.75" customHeight="1">
      <c r="A687" s="58"/>
      <c r="B687" s="59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AB687" s="36"/>
      <c r="AC687" s="36"/>
    </row>
    <row r="688" ht="12.75" customHeight="1">
      <c r="A688" s="58"/>
      <c r="B688" s="59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AB688" s="36"/>
      <c r="AC688" s="36"/>
    </row>
    <row r="689" ht="12.75" customHeight="1">
      <c r="A689" s="58"/>
      <c r="B689" s="59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AB689" s="36"/>
      <c r="AC689" s="36"/>
    </row>
    <row r="690" ht="12.75" customHeight="1">
      <c r="A690" s="58"/>
      <c r="B690" s="59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AB690" s="36"/>
      <c r="AC690" s="36"/>
    </row>
    <row r="691" ht="12.75" customHeight="1">
      <c r="A691" s="58"/>
      <c r="B691" s="59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AB691" s="36"/>
      <c r="AC691" s="36"/>
    </row>
    <row r="692" ht="12.75" customHeight="1">
      <c r="A692" s="58"/>
      <c r="B692" s="59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AB692" s="36"/>
      <c r="AC692" s="36"/>
    </row>
    <row r="693" ht="12.75" customHeight="1">
      <c r="A693" s="58"/>
      <c r="B693" s="59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AB693" s="36"/>
      <c r="AC693" s="36"/>
    </row>
    <row r="694" ht="12.75" customHeight="1">
      <c r="A694" s="58"/>
      <c r="B694" s="59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AB694" s="36"/>
      <c r="AC694" s="36"/>
    </row>
    <row r="695" ht="12.75" customHeight="1">
      <c r="A695" s="58"/>
      <c r="B695" s="59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AB695" s="36"/>
      <c r="AC695" s="36"/>
    </row>
    <row r="696" ht="12.75" customHeight="1">
      <c r="A696" s="58"/>
      <c r="B696" s="59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AB696" s="36"/>
      <c r="AC696" s="36"/>
    </row>
    <row r="697" ht="12.75" customHeight="1">
      <c r="A697" s="58"/>
      <c r="B697" s="59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AB697" s="36"/>
      <c r="AC697" s="36"/>
    </row>
    <row r="698" ht="12.75" customHeight="1">
      <c r="A698" s="58"/>
      <c r="B698" s="59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AB698" s="36"/>
      <c r="AC698" s="36"/>
    </row>
    <row r="699" ht="12.75" customHeight="1">
      <c r="A699" s="58"/>
      <c r="B699" s="59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AB699" s="36"/>
      <c r="AC699" s="36"/>
    </row>
    <row r="700" ht="12.75" customHeight="1">
      <c r="A700" s="58"/>
      <c r="B700" s="59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AB700" s="36"/>
      <c r="AC700" s="36"/>
    </row>
    <row r="701" ht="12.75" customHeight="1">
      <c r="A701" s="58"/>
      <c r="B701" s="59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AB701" s="36"/>
      <c r="AC701" s="36"/>
    </row>
    <row r="702" ht="12.75" customHeight="1">
      <c r="A702" s="58"/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AB702" s="36"/>
      <c r="AC702" s="36"/>
    </row>
    <row r="703" ht="12.75" customHeight="1">
      <c r="A703" s="58"/>
      <c r="B703" s="59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AB703" s="36"/>
      <c r="AC703" s="36"/>
    </row>
    <row r="704" ht="12.75" customHeight="1">
      <c r="A704" s="58"/>
      <c r="B704" s="59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AB704" s="36"/>
      <c r="AC704" s="36"/>
    </row>
    <row r="705" ht="12.75" customHeight="1">
      <c r="A705" s="58"/>
      <c r="B705" s="59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AB705" s="36"/>
      <c r="AC705" s="36"/>
    </row>
    <row r="706" ht="12.75" customHeight="1">
      <c r="A706" s="58"/>
      <c r="B706" s="59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AB706" s="36"/>
      <c r="AC706" s="36"/>
    </row>
    <row r="707" ht="12.75" customHeight="1">
      <c r="A707" s="58"/>
      <c r="B707" s="59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AB707" s="36"/>
      <c r="AC707" s="36"/>
    </row>
    <row r="708" ht="12.75" customHeight="1">
      <c r="A708" s="58"/>
      <c r="B708" s="59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AB708" s="36"/>
      <c r="AC708" s="36"/>
    </row>
    <row r="709" ht="12.75" customHeight="1">
      <c r="A709" s="58"/>
      <c r="B709" s="59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AB709" s="36"/>
      <c r="AC709" s="36"/>
    </row>
    <row r="710" ht="12.75" customHeight="1">
      <c r="A710" s="58"/>
      <c r="B710" s="59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AB710" s="36"/>
      <c r="AC710" s="36"/>
    </row>
    <row r="711" ht="12.75" customHeight="1">
      <c r="A711" s="58"/>
      <c r="B711" s="59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AB711" s="36"/>
      <c r="AC711" s="36"/>
    </row>
    <row r="712" ht="12.75" customHeight="1">
      <c r="A712" s="58"/>
      <c r="B712" s="59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AB712" s="36"/>
      <c r="AC712" s="36"/>
    </row>
    <row r="713" ht="12.75" customHeight="1">
      <c r="A713" s="58"/>
      <c r="B713" s="59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AB713" s="36"/>
      <c r="AC713" s="36"/>
    </row>
    <row r="714" ht="12.75" customHeight="1">
      <c r="A714" s="58"/>
      <c r="B714" s="59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AB714" s="36"/>
      <c r="AC714" s="36"/>
    </row>
    <row r="715" ht="12.75" customHeight="1">
      <c r="A715" s="58"/>
      <c r="B715" s="59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AB715" s="36"/>
      <c r="AC715" s="36"/>
    </row>
    <row r="716" ht="12.75" customHeight="1">
      <c r="A716" s="58"/>
      <c r="B716" s="59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AB716" s="36"/>
      <c r="AC716" s="36"/>
    </row>
    <row r="717" ht="12.75" customHeight="1">
      <c r="A717" s="58"/>
      <c r="B717" s="59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AB717" s="36"/>
      <c r="AC717" s="36"/>
    </row>
    <row r="718" ht="12.75" customHeight="1">
      <c r="A718" s="58"/>
      <c r="B718" s="59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AB718" s="36"/>
      <c r="AC718" s="36"/>
    </row>
    <row r="719" ht="12.75" customHeight="1">
      <c r="A719" s="58"/>
      <c r="B719" s="59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AB719" s="36"/>
      <c r="AC719" s="36"/>
    </row>
    <row r="720" ht="12.75" customHeight="1">
      <c r="A720" s="58"/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AB720" s="36"/>
      <c r="AC720" s="36"/>
    </row>
    <row r="721" ht="12.75" customHeight="1">
      <c r="A721" s="58"/>
      <c r="B721" s="59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AB721" s="36"/>
      <c r="AC721" s="36"/>
    </row>
    <row r="722" ht="12.75" customHeight="1">
      <c r="A722" s="58"/>
      <c r="B722" s="59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AB722" s="36"/>
      <c r="AC722" s="36"/>
    </row>
    <row r="723" ht="12.75" customHeight="1">
      <c r="A723" s="58"/>
      <c r="B723" s="59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AB723" s="36"/>
      <c r="AC723" s="36"/>
    </row>
    <row r="724" ht="12.75" customHeight="1">
      <c r="A724" s="58"/>
      <c r="B724" s="59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AB724" s="36"/>
      <c r="AC724" s="36"/>
    </row>
    <row r="725" ht="12.75" customHeight="1">
      <c r="A725" s="58"/>
      <c r="B725" s="59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AB725" s="36"/>
      <c r="AC725" s="36"/>
    </row>
    <row r="726" ht="12.75" customHeight="1">
      <c r="A726" s="58"/>
      <c r="B726" s="59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AB726" s="36"/>
      <c r="AC726" s="36"/>
    </row>
    <row r="727" ht="12.75" customHeight="1">
      <c r="A727" s="58"/>
      <c r="B727" s="59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AB727" s="36"/>
      <c r="AC727" s="36"/>
    </row>
    <row r="728" ht="12.75" customHeight="1">
      <c r="A728" s="58"/>
      <c r="B728" s="59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AB728" s="36"/>
      <c r="AC728" s="36"/>
    </row>
    <row r="729" ht="12.75" customHeight="1">
      <c r="A729" s="58"/>
      <c r="B729" s="59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AB729" s="36"/>
      <c r="AC729" s="36"/>
    </row>
    <row r="730" ht="12.75" customHeight="1">
      <c r="A730" s="58"/>
      <c r="B730" s="59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AB730" s="36"/>
      <c r="AC730" s="36"/>
    </row>
    <row r="731" ht="12.75" customHeight="1">
      <c r="A731" s="58"/>
      <c r="B731" s="59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AB731" s="36"/>
      <c r="AC731" s="36"/>
    </row>
    <row r="732" ht="12.75" customHeight="1">
      <c r="A732" s="58"/>
      <c r="B732" s="59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AB732" s="36"/>
      <c r="AC732" s="36"/>
    </row>
    <row r="733" ht="12.75" customHeight="1">
      <c r="A733" s="58"/>
      <c r="B733" s="59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AB733" s="36"/>
      <c r="AC733" s="36"/>
    </row>
    <row r="734" ht="12.75" customHeight="1">
      <c r="A734" s="58"/>
      <c r="B734" s="59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AB734" s="36"/>
      <c r="AC734" s="36"/>
    </row>
    <row r="735" ht="12.75" customHeight="1">
      <c r="A735" s="58"/>
      <c r="B735" s="59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AB735" s="36"/>
      <c r="AC735" s="36"/>
    </row>
    <row r="736" ht="12.75" customHeight="1">
      <c r="A736" s="58"/>
      <c r="B736" s="59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AB736" s="36"/>
      <c r="AC736" s="36"/>
    </row>
    <row r="737" ht="12.75" customHeight="1">
      <c r="A737" s="58"/>
      <c r="B737" s="59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AB737" s="36"/>
      <c r="AC737" s="36"/>
    </row>
    <row r="738" ht="12.75" customHeight="1">
      <c r="A738" s="58"/>
      <c r="B738" s="59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AB738" s="36"/>
      <c r="AC738" s="36"/>
    </row>
    <row r="739" ht="12.75" customHeight="1">
      <c r="A739" s="58"/>
      <c r="B739" s="59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AB739" s="36"/>
      <c r="AC739" s="36"/>
    </row>
    <row r="740" ht="12.75" customHeight="1">
      <c r="A740" s="58"/>
      <c r="B740" s="59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AB740" s="36"/>
      <c r="AC740" s="36"/>
    </row>
    <row r="741" ht="12.75" customHeight="1">
      <c r="A741" s="58"/>
      <c r="B741" s="59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AB741" s="36"/>
      <c r="AC741" s="36"/>
    </row>
    <row r="742" ht="12.75" customHeight="1">
      <c r="A742" s="58"/>
      <c r="B742" s="59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AB742" s="36"/>
      <c r="AC742" s="36"/>
    </row>
    <row r="743" ht="12.75" customHeight="1">
      <c r="A743" s="58"/>
      <c r="B743" s="59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AB743" s="36"/>
      <c r="AC743" s="36"/>
    </row>
    <row r="744" ht="12.75" customHeight="1">
      <c r="A744" s="58"/>
      <c r="B744" s="59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AB744" s="36"/>
      <c r="AC744" s="36"/>
    </row>
    <row r="745" ht="12.75" customHeight="1">
      <c r="A745" s="58"/>
      <c r="B745" s="59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AB745" s="36"/>
      <c r="AC745" s="36"/>
    </row>
    <row r="746" ht="12.75" customHeight="1">
      <c r="A746" s="58"/>
      <c r="B746" s="59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AB746" s="36"/>
      <c r="AC746" s="36"/>
    </row>
    <row r="747" ht="12.75" customHeight="1">
      <c r="A747" s="58"/>
      <c r="B747" s="59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AB747" s="36"/>
      <c r="AC747" s="36"/>
    </row>
    <row r="748" ht="12.75" customHeight="1">
      <c r="A748" s="58"/>
      <c r="B748" s="59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AB748" s="36"/>
      <c r="AC748" s="36"/>
    </row>
    <row r="749" ht="12.75" customHeight="1">
      <c r="A749" s="58"/>
      <c r="B749" s="59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AB749" s="36"/>
      <c r="AC749" s="36"/>
    </row>
    <row r="750" ht="12.75" customHeight="1">
      <c r="A750" s="58"/>
      <c r="B750" s="59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AB750" s="36"/>
      <c r="AC750" s="36"/>
    </row>
    <row r="751" ht="12.75" customHeight="1">
      <c r="A751" s="58"/>
      <c r="B751" s="59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AB751" s="36"/>
      <c r="AC751" s="36"/>
    </row>
    <row r="752" ht="12.75" customHeight="1">
      <c r="A752" s="58"/>
      <c r="B752" s="59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AB752" s="36"/>
      <c r="AC752" s="36"/>
    </row>
    <row r="753" ht="12.75" customHeight="1">
      <c r="A753" s="58"/>
      <c r="B753" s="59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AB753" s="36"/>
      <c r="AC753" s="36"/>
    </row>
    <row r="754" ht="12.75" customHeight="1">
      <c r="A754" s="58"/>
      <c r="B754" s="59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AB754" s="36"/>
      <c r="AC754" s="36"/>
    </row>
    <row r="755" ht="12.75" customHeight="1">
      <c r="A755" s="58"/>
      <c r="B755" s="59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AB755" s="36"/>
      <c r="AC755" s="36"/>
    </row>
    <row r="756" ht="12.75" customHeight="1">
      <c r="A756" s="58"/>
      <c r="B756" s="59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AB756" s="36"/>
      <c r="AC756" s="36"/>
    </row>
    <row r="757" ht="12.75" customHeight="1">
      <c r="A757" s="58"/>
      <c r="B757" s="59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AB757" s="36"/>
      <c r="AC757" s="36"/>
    </row>
    <row r="758" ht="12.75" customHeight="1">
      <c r="A758" s="58"/>
      <c r="B758" s="59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AB758" s="36"/>
      <c r="AC758" s="36"/>
    </row>
    <row r="759" ht="12.75" customHeight="1">
      <c r="A759" s="58"/>
      <c r="B759" s="59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AB759" s="36"/>
      <c r="AC759" s="36"/>
    </row>
    <row r="760" ht="12.75" customHeight="1">
      <c r="A760" s="58"/>
      <c r="B760" s="59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AB760" s="36"/>
      <c r="AC760" s="36"/>
    </row>
    <row r="761" ht="12.75" customHeight="1">
      <c r="A761" s="58"/>
      <c r="B761" s="59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AB761" s="36"/>
      <c r="AC761" s="36"/>
    </row>
    <row r="762" ht="12.75" customHeight="1">
      <c r="A762" s="58"/>
      <c r="B762" s="59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AB762" s="36"/>
      <c r="AC762" s="36"/>
    </row>
    <row r="763" ht="12.75" customHeight="1">
      <c r="A763" s="58"/>
      <c r="B763" s="59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AB763" s="36"/>
      <c r="AC763" s="36"/>
    </row>
    <row r="764" ht="12.75" customHeight="1">
      <c r="A764" s="58"/>
      <c r="B764" s="59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AB764" s="36"/>
      <c r="AC764" s="36"/>
    </row>
    <row r="765" ht="12.75" customHeight="1">
      <c r="A765" s="58"/>
      <c r="B765" s="59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AB765" s="36"/>
      <c r="AC765" s="36"/>
    </row>
    <row r="766" ht="12.75" customHeight="1">
      <c r="A766" s="58"/>
      <c r="B766" s="59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AB766" s="36"/>
      <c r="AC766" s="36"/>
    </row>
    <row r="767" ht="12.75" customHeight="1">
      <c r="A767" s="58"/>
      <c r="B767" s="59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AB767" s="36"/>
      <c r="AC767" s="36"/>
    </row>
    <row r="768" ht="12.75" customHeight="1">
      <c r="A768" s="58"/>
      <c r="B768" s="59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AB768" s="36"/>
      <c r="AC768" s="36"/>
    </row>
    <row r="769" ht="12.75" customHeight="1">
      <c r="A769" s="58"/>
      <c r="B769" s="59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AB769" s="36"/>
      <c r="AC769" s="36"/>
    </row>
    <row r="770" ht="12.75" customHeight="1">
      <c r="A770" s="58"/>
      <c r="B770" s="59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AB770" s="36"/>
      <c r="AC770" s="36"/>
    </row>
    <row r="771" ht="12.75" customHeight="1">
      <c r="A771" s="58"/>
      <c r="B771" s="59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AB771" s="36"/>
      <c r="AC771" s="36"/>
    </row>
    <row r="772" ht="12.75" customHeight="1">
      <c r="A772" s="58"/>
      <c r="B772" s="59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AB772" s="36"/>
      <c r="AC772" s="36"/>
    </row>
    <row r="773" ht="12.75" customHeight="1">
      <c r="A773" s="58"/>
      <c r="B773" s="59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AB773" s="36"/>
      <c r="AC773" s="36"/>
    </row>
    <row r="774" ht="12.75" customHeight="1">
      <c r="A774" s="58"/>
      <c r="B774" s="59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AB774" s="36"/>
      <c r="AC774" s="36"/>
    </row>
    <row r="775" ht="12.75" customHeight="1">
      <c r="A775" s="58"/>
      <c r="B775" s="59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AB775" s="36"/>
      <c r="AC775" s="36"/>
    </row>
    <row r="776" ht="12.75" customHeight="1">
      <c r="A776" s="58"/>
      <c r="B776" s="59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AB776" s="36"/>
      <c r="AC776" s="36"/>
    </row>
    <row r="777" ht="12.75" customHeight="1">
      <c r="A777" s="58"/>
      <c r="B777" s="59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AB777" s="36"/>
      <c r="AC777" s="36"/>
    </row>
    <row r="778" ht="12.75" customHeight="1">
      <c r="A778" s="58"/>
      <c r="B778" s="59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AB778" s="36"/>
      <c r="AC778" s="36"/>
    </row>
    <row r="779" ht="12.75" customHeight="1">
      <c r="A779" s="58"/>
      <c r="B779" s="59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AB779" s="36"/>
      <c r="AC779" s="36"/>
    </row>
    <row r="780" ht="12.75" customHeight="1">
      <c r="A780" s="58"/>
      <c r="B780" s="59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AB780" s="36"/>
      <c r="AC780" s="36"/>
    </row>
    <row r="781" ht="12.75" customHeight="1">
      <c r="A781" s="58"/>
      <c r="B781" s="59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AB781" s="36"/>
      <c r="AC781" s="36"/>
    </row>
    <row r="782" ht="12.75" customHeight="1">
      <c r="A782" s="58"/>
      <c r="B782" s="59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AB782" s="36"/>
      <c r="AC782" s="36"/>
    </row>
    <row r="783" ht="12.75" customHeight="1">
      <c r="A783" s="58"/>
      <c r="B783" s="59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AB783" s="36"/>
      <c r="AC783" s="36"/>
    </row>
    <row r="784" ht="12.75" customHeight="1">
      <c r="A784" s="58"/>
      <c r="B784" s="59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AB784" s="36"/>
      <c r="AC784" s="36"/>
    </row>
    <row r="785" ht="12.75" customHeight="1">
      <c r="A785" s="58"/>
      <c r="B785" s="59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AB785" s="36"/>
      <c r="AC785" s="36"/>
    </row>
    <row r="786" ht="12.75" customHeight="1">
      <c r="A786" s="58"/>
      <c r="B786" s="59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AB786" s="36"/>
      <c r="AC786" s="36"/>
    </row>
    <row r="787" ht="12.75" customHeight="1">
      <c r="A787" s="58"/>
      <c r="B787" s="59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AB787" s="36"/>
      <c r="AC787" s="36"/>
    </row>
    <row r="788" ht="12.75" customHeight="1">
      <c r="A788" s="58"/>
      <c r="B788" s="59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AB788" s="36"/>
      <c r="AC788" s="36"/>
    </row>
    <row r="789" ht="12.75" customHeight="1">
      <c r="A789" s="58"/>
      <c r="B789" s="59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AB789" s="36"/>
      <c r="AC789" s="36"/>
    </row>
    <row r="790" ht="12.75" customHeight="1">
      <c r="A790" s="58"/>
      <c r="B790" s="59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AB790" s="36"/>
      <c r="AC790" s="36"/>
    </row>
    <row r="791" ht="12.75" customHeight="1">
      <c r="A791" s="58"/>
      <c r="B791" s="59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AB791" s="36"/>
      <c r="AC791" s="36"/>
    </row>
    <row r="792" ht="12.75" customHeight="1">
      <c r="A792" s="58"/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AB792" s="36"/>
      <c r="AC792" s="36"/>
    </row>
    <row r="793" ht="12.75" customHeight="1">
      <c r="A793" s="58"/>
      <c r="B793" s="59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AB793" s="36"/>
      <c r="AC793" s="36"/>
    </row>
    <row r="794" ht="12.75" customHeight="1">
      <c r="A794" s="58"/>
      <c r="B794" s="59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AB794" s="36"/>
      <c r="AC794" s="36"/>
    </row>
    <row r="795" ht="12.75" customHeight="1">
      <c r="A795" s="58"/>
      <c r="B795" s="59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AB795" s="36"/>
      <c r="AC795" s="36"/>
    </row>
    <row r="796" ht="12.75" customHeight="1">
      <c r="A796" s="58"/>
      <c r="B796" s="59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AB796" s="36"/>
      <c r="AC796" s="36"/>
    </row>
    <row r="797" ht="12.75" customHeight="1">
      <c r="A797" s="58"/>
      <c r="B797" s="59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AB797" s="36"/>
      <c r="AC797" s="36"/>
    </row>
    <row r="798" ht="12.75" customHeight="1">
      <c r="A798" s="58"/>
      <c r="B798" s="59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AB798" s="36"/>
      <c r="AC798" s="36"/>
    </row>
    <row r="799" ht="12.75" customHeight="1">
      <c r="A799" s="58"/>
      <c r="B799" s="59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AB799" s="36"/>
      <c r="AC799" s="36"/>
    </row>
    <row r="800" ht="12.75" customHeight="1">
      <c r="A800" s="58"/>
      <c r="B800" s="59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AB800" s="36"/>
      <c r="AC800" s="36"/>
    </row>
    <row r="801" ht="12.75" customHeight="1">
      <c r="A801" s="58"/>
      <c r="B801" s="59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AB801" s="36"/>
      <c r="AC801" s="36"/>
    </row>
    <row r="802" ht="12.75" customHeight="1">
      <c r="A802" s="58"/>
      <c r="B802" s="59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AB802" s="36"/>
      <c r="AC802" s="36"/>
    </row>
    <row r="803" ht="12.75" customHeight="1">
      <c r="A803" s="58"/>
      <c r="B803" s="59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AB803" s="36"/>
      <c r="AC803" s="36"/>
    </row>
    <row r="804" ht="12.75" customHeight="1">
      <c r="A804" s="58"/>
      <c r="B804" s="59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AB804" s="36"/>
      <c r="AC804" s="36"/>
    </row>
    <row r="805" ht="12.75" customHeight="1">
      <c r="A805" s="58"/>
      <c r="B805" s="59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AB805" s="36"/>
      <c r="AC805" s="36"/>
    </row>
    <row r="806" ht="12.75" customHeight="1">
      <c r="A806" s="58"/>
      <c r="B806" s="59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AB806" s="36"/>
      <c r="AC806" s="36"/>
    </row>
    <row r="807" ht="12.75" customHeight="1">
      <c r="A807" s="58"/>
      <c r="B807" s="59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AB807" s="36"/>
      <c r="AC807" s="36"/>
    </row>
    <row r="808" ht="12.75" customHeight="1">
      <c r="A808" s="58"/>
      <c r="B808" s="59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AB808" s="36"/>
      <c r="AC808" s="36"/>
    </row>
    <row r="809" ht="12.75" customHeight="1">
      <c r="A809" s="58"/>
      <c r="B809" s="59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AB809" s="36"/>
      <c r="AC809" s="36"/>
    </row>
    <row r="810" ht="12.75" customHeight="1">
      <c r="A810" s="58"/>
      <c r="B810" s="59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AB810" s="36"/>
      <c r="AC810" s="36"/>
    </row>
    <row r="811" ht="12.75" customHeight="1">
      <c r="A811" s="58"/>
      <c r="B811" s="59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AB811" s="36"/>
      <c r="AC811" s="36"/>
    </row>
    <row r="812" ht="12.75" customHeight="1">
      <c r="A812" s="58"/>
      <c r="B812" s="59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AB812" s="36"/>
      <c r="AC812" s="36"/>
    </row>
    <row r="813" ht="12.75" customHeight="1">
      <c r="A813" s="58"/>
      <c r="B813" s="59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AB813" s="36"/>
      <c r="AC813" s="36"/>
    </row>
    <row r="814" ht="12.75" customHeight="1">
      <c r="A814" s="58"/>
      <c r="B814" s="59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AB814" s="36"/>
      <c r="AC814" s="36"/>
    </row>
    <row r="815" ht="12.75" customHeight="1">
      <c r="A815" s="58"/>
      <c r="B815" s="59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AB815" s="36"/>
      <c r="AC815" s="36"/>
    </row>
    <row r="816" ht="12.75" customHeight="1">
      <c r="A816" s="58"/>
      <c r="B816" s="59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AB816" s="36"/>
      <c r="AC816" s="36"/>
    </row>
    <row r="817" ht="12.75" customHeight="1">
      <c r="A817" s="58"/>
      <c r="B817" s="59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AB817" s="36"/>
      <c r="AC817" s="36"/>
    </row>
    <row r="818" ht="12.75" customHeight="1">
      <c r="A818" s="58"/>
      <c r="B818" s="59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AB818" s="36"/>
      <c r="AC818" s="36"/>
    </row>
    <row r="819" ht="12.75" customHeight="1">
      <c r="A819" s="58"/>
      <c r="B819" s="59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AB819" s="36"/>
      <c r="AC819" s="36"/>
    </row>
    <row r="820" ht="12.75" customHeight="1">
      <c r="A820" s="58"/>
      <c r="B820" s="59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AB820" s="36"/>
      <c r="AC820" s="36"/>
    </row>
    <row r="821" ht="12.75" customHeight="1">
      <c r="A821" s="58"/>
      <c r="B821" s="59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AB821" s="36"/>
      <c r="AC821" s="36"/>
    </row>
    <row r="822" ht="12.75" customHeight="1">
      <c r="A822" s="58"/>
      <c r="B822" s="59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AB822" s="36"/>
      <c r="AC822" s="36"/>
    </row>
    <row r="823" ht="12.75" customHeight="1">
      <c r="A823" s="58"/>
      <c r="B823" s="59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AB823" s="36"/>
      <c r="AC823" s="36"/>
    </row>
    <row r="824" ht="12.75" customHeight="1">
      <c r="A824" s="58"/>
      <c r="B824" s="59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AB824" s="36"/>
      <c r="AC824" s="36"/>
    </row>
    <row r="825" ht="12.75" customHeight="1">
      <c r="A825" s="58"/>
      <c r="B825" s="59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AB825" s="36"/>
      <c r="AC825" s="36"/>
    </row>
    <row r="826" ht="12.75" customHeight="1">
      <c r="A826" s="58"/>
      <c r="B826" s="59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AB826" s="36"/>
      <c r="AC826" s="36"/>
    </row>
    <row r="827" ht="12.75" customHeight="1">
      <c r="A827" s="58"/>
      <c r="B827" s="59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AB827" s="36"/>
      <c r="AC827" s="36"/>
    </row>
    <row r="828" ht="12.75" customHeight="1">
      <c r="A828" s="58"/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AB828" s="36"/>
      <c r="AC828" s="36"/>
    </row>
    <row r="829" ht="12.75" customHeight="1">
      <c r="A829" s="58"/>
      <c r="B829" s="59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AB829" s="36"/>
      <c r="AC829" s="36"/>
    </row>
    <row r="830" ht="12.75" customHeight="1">
      <c r="A830" s="58"/>
      <c r="B830" s="59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AB830" s="36"/>
      <c r="AC830" s="36"/>
    </row>
    <row r="831" ht="12.75" customHeight="1">
      <c r="A831" s="58"/>
      <c r="B831" s="59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AB831" s="36"/>
      <c r="AC831" s="36"/>
    </row>
    <row r="832" ht="12.75" customHeight="1">
      <c r="A832" s="58"/>
      <c r="B832" s="59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AB832" s="36"/>
      <c r="AC832" s="36"/>
    </row>
    <row r="833" ht="12.75" customHeight="1">
      <c r="A833" s="58"/>
      <c r="B833" s="59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AB833" s="36"/>
      <c r="AC833" s="36"/>
    </row>
    <row r="834" ht="12.75" customHeight="1">
      <c r="A834" s="58"/>
      <c r="B834" s="59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AB834" s="36"/>
      <c r="AC834" s="36"/>
    </row>
    <row r="835" ht="12.75" customHeight="1">
      <c r="A835" s="58"/>
      <c r="B835" s="59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AB835" s="36"/>
      <c r="AC835" s="36"/>
    </row>
    <row r="836" ht="12.75" customHeight="1">
      <c r="A836" s="58"/>
      <c r="B836" s="59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AB836" s="36"/>
      <c r="AC836" s="36"/>
    </row>
    <row r="837" ht="12.75" customHeight="1">
      <c r="A837" s="58"/>
      <c r="B837" s="59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AB837" s="36"/>
      <c r="AC837" s="36"/>
    </row>
    <row r="838" ht="12.75" customHeight="1">
      <c r="A838" s="58"/>
      <c r="B838" s="59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AB838" s="36"/>
      <c r="AC838" s="36"/>
    </row>
    <row r="839" ht="12.75" customHeight="1">
      <c r="A839" s="58"/>
      <c r="B839" s="59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AB839" s="36"/>
      <c r="AC839" s="36"/>
    </row>
    <row r="840" ht="12.75" customHeight="1">
      <c r="A840" s="58"/>
      <c r="B840" s="59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AB840" s="36"/>
      <c r="AC840" s="36"/>
    </row>
    <row r="841" ht="12.75" customHeight="1">
      <c r="A841" s="58"/>
      <c r="B841" s="59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AB841" s="36"/>
      <c r="AC841" s="36"/>
    </row>
    <row r="842" ht="12.75" customHeight="1">
      <c r="A842" s="58"/>
      <c r="B842" s="59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AB842" s="36"/>
      <c r="AC842" s="36"/>
    </row>
    <row r="843" ht="12.75" customHeight="1">
      <c r="A843" s="58"/>
      <c r="B843" s="59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AB843" s="36"/>
      <c r="AC843" s="36"/>
    </row>
    <row r="844" ht="12.75" customHeight="1">
      <c r="A844" s="58"/>
      <c r="B844" s="59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AB844" s="36"/>
      <c r="AC844" s="36"/>
    </row>
    <row r="845" ht="12.75" customHeight="1">
      <c r="A845" s="58"/>
      <c r="B845" s="59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AB845" s="36"/>
      <c r="AC845" s="36"/>
    </row>
    <row r="846" ht="12.75" customHeight="1">
      <c r="A846" s="58"/>
      <c r="B846" s="59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AB846" s="36"/>
      <c r="AC846" s="36"/>
    </row>
    <row r="847" ht="12.75" customHeight="1">
      <c r="A847" s="58"/>
      <c r="B847" s="59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AB847" s="36"/>
      <c r="AC847" s="36"/>
    </row>
    <row r="848" ht="12.75" customHeight="1">
      <c r="A848" s="58"/>
      <c r="B848" s="59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AB848" s="36"/>
      <c r="AC848" s="36"/>
    </row>
    <row r="849" ht="12.75" customHeight="1">
      <c r="A849" s="58"/>
      <c r="B849" s="59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AB849" s="36"/>
      <c r="AC849" s="36"/>
    </row>
    <row r="850" ht="12.75" customHeight="1">
      <c r="A850" s="58"/>
      <c r="B850" s="59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AB850" s="36"/>
      <c r="AC850" s="36"/>
    </row>
    <row r="851" ht="12.75" customHeight="1">
      <c r="A851" s="58"/>
      <c r="B851" s="59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AB851" s="36"/>
      <c r="AC851" s="36"/>
    </row>
    <row r="852" ht="12.75" customHeight="1">
      <c r="A852" s="58"/>
      <c r="B852" s="59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AB852" s="36"/>
      <c r="AC852" s="36"/>
    </row>
    <row r="853" ht="12.75" customHeight="1">
      <c r="A853" s="58"/>
      <c r="B853" s="59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AB853" s="36"/>
      <c r="AC853" s="36"/>
    </row>
    <row r="854" ht="12.75" customHeight="1">
      <c r="A854" s="58"/>
      <c r="B854" s="59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AB854" s="36"/>
      <c r="AC854" s="36"/>
    </row>
    <row r="855" ht="12.75" customHeight="1">
      <c r="A855" s="58"/>
      <c r="B855" s="59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AB855" s="36"/>
      <c r="AC855" s="36"/>
    </row>
    <row r="856" ht="12.75" customHeight="1">
      <c r="A856" s="58"/>
      <c r="B856" s="59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AB856" s="36"/>
      <c r="AC856" s="36"/>
    </row>
    <row r="857" ht="12.75" customHeight="1">
      <c r="A857" s="58"/>
      <c r="B857" s="59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AB857" s="36"/>
      <c r="AC857" s="36"/>
    </row>
    <row r="858" ht="12.75" customHeight="1">
      <c r="A858" s="58"/>
      <c r="B858" s="59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AB858" s="36"/>
      <c r="AC858" s="36"/>
    </row>
    <row r="859" ht="12.75" customHeight="1">
      <c r="A859" s="58"/>
      <c r="B859" s="59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AB859" s="36"/>
      <c r="AC859" s="36"/>
    </row>
    <row r="860" ht="12.75" customHeight="1">
      <c r="A860" s="58"/>
      <c r="B860" s="59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AB860" s="36"/>
      <c r="AC860" s="36"/>
    </row>
    <row r="861" ht="12.75" customHeight="1">
      <c r="A861" s="58"/>
      <c r="B861" s="59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AB861" s="36"/>
      <c r="AC861" s="36"/>
    </row>
    <row r="862" ht="12.75" customHeight="1">
      <c r="A862" s="58"/>
      <c r="B862" s="59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AB862" s="36"/>
      <c r="AC862" s="36"/>
    </row>
    <row r="863" ht="12.75" customHeight="1">
      <c r="A863" s="58"/>
      <c r="B863" s="59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AB863" s="36"/>
      <c r="AC863" s="36"/>
    </row>
    <row r="864" ht="12.75" customHeight="1">
      <c r="A864" s="58"/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AB864" s="36"/>
      <c r="AC864" s="36"/>
    </row>
    <row r="865" ht="12.75" customHeight="1">
      <c r="A865" s="58"/>
      <c r="B865" s="59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AB865" s="36"/>
      <c r="AC865" s="36"/>
    </row>
    <row r="866" ht="12.75" customHeight="1">
      <c r="A866" s="58"/>
      <c r="B866" s="59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AB866" s="36"/>
      <c r="AC866" s="36"/>
    </row>
    <row r="867" ht="12.75" customHeight="1">
      <c r="A867" s="58"/>
      <c r="B867" s="59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AB867" s="36"/>
      <c r="AC867" s="36"/>
    </row>
    <row r="868" ht="12.75" customHeight="1">
      <c r="A868" s="58"/>
      <c r="B868" s="59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AB868" s="36"/>
      <c r="AC868" s="36"/>
    </row>
    <row r="869" ht="12.75" customHeight="1">
      <c r="A869" s="58"/>
      <c r="B869" s="59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AB869" s="36"/>
      <c r="AC869" s="36"/>
    </row>
    <row r="870" ht="12.75" customHeight="1">
      <c r="A870" s="58"/>
      <c r="B870" s="59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AB870" s="36"/>
      <c r="AC870" s="36"/>
    </row>
    <row r="871" ht="12.75" customHeight="1">
      <c r="A871" s="58"/>
      <c r="B871" s="59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AB871" s="36"/>
      <c r="AC871" s="36"/>
    </row>
    <row r="872" ht="12.75" customHeight="1">
      <c r="A872" s="58"/>
      <c r="B872" s="59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AB872" s="36"/>
      <c r="AC872" s="36"/>
    </row>
    <row r="873" ht="12.75" customHeight="1">
      <c r="A873" s="58"/>
      <c r="B873" s="59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AB873" s="36"/>
      <c r="AC873" s="36"/>
    </row>
    <row r="874" ht="12.75" customHeight="1">
      <c r="A874" s="58"/>
      <c r="B874" s="59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AB874" s="36"/>
      <c r="AC874" s="36"/>
    </row>
    <row r="875" ht="12.75" customHeight="1">
      <c r="A875" s="58"/>
      <c r="B875" s="59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AB875" s="36"/>
      <c r="AC875" s="36"/>
    </row>
    <row r="876" ht="12.75" customHeight="1">
      <c r="A876" s="58"/>
      <c r="B876" s="59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AB876" s="36"/>
      <c r="AC876" s="36"/>
    </row>
    <row r="877" ht="12.75" customHeight="1">
      <c r="A877" s="58"/>
      <c r="B877" s="59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AB877" s="36"/>
      <c r="AC877" s="36"/>
    </row>
    <row r="878" ht="12.75" customHeight="1">
      <c r="A878" s="58"/>
      <c r="B878" s="59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AB878" s="36"/>
      <c r="AC878" s="36"/>
    </row>
    <row r="879" ht="12.75" customHeight="1">
      <c r="A879" s="58"/>
      <c r="B879" s="59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AB879" s="36"/>
      <c r="AC879" s="36"/>
    </row>
    <row r="880" ht="12.75" customHeight="1">
      <c r="A880" s="58"/>
      <c r="B880" s="59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AB880" s="36"/>
      <c r="AC880" s="36"/>
    </row>
    <row r="881" ht="12.75" customHeight="1">
      <c r="A881" s="58"/>
      <c r="B881" s="59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AB881" s="36"/>
      <c r="AC881" s="36"/>
    </row>
    <row r="882" ht="12.75" customHeight="1">
      <c r="A882" s="58"/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AB882" s="36"/>
      <c r="AC882" s="36"/>
    </row>
    <row r="883" ht="12.75" customHeight="1">
      <c r="A883" s="58"/>
      <c r="B883" s="59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AB883" s="36"/>
      <c r="AC883" s="36"/>
    </row>
    <row r="884" ht="12.75" customHeight="1">
      <c r="A884" s="58"/>
      <c r="B884" s="59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AB884" s="36"/>
      <c r="AC884" s="36"/>
    </row>
    <row r="885" ht="12.75" customHeight="1">
      <c r="A885" s="58"/>
      <c r="B885" s="59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AB885" s="36"/>
      <c r="AC885" s="36"/>
    </row>
    <row r="886" ht="12.75" customHeight="1">
      <c r="A886" s="58"/>
      <c r="B886" s="59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AB886" s="36"/>
      <c r="AC886" s="36"/>
    </row>
    <row r="887" ht="12.75" customHeight="1">
      <c r="A887" s="58"/>
      <c r="B887" s="59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AB887" s="36"/>
      <c r="AC887" s="36"/>
    </row>
    <row r="888" ht="12.75" customHeight="1">
      <c r="A888" s="58"/>
      <c r="B888" s="59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AB888" s="36"/>
      <c r="AC888" s="36"/>
    </row>
    <row r="889" ht="12.75" customHeight="1">
      <c r="A889" s="58"/>
      <c r="B889" s="59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AB889" s="36"/>
      <c r="AC889" s="36"/>
    </row>
    <row r="890" ht="12.75" customHeight="1">
      <c r="A890" s="58"/>
      <c r="B890" s="59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AB890" s="36"/>
      <c r="AC890" s="36"/>
    </row>
    <row r="891" ht="12.75" customHeight="1">
      <c r="A891" s="58"/>
      <c r="B891" s="59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AB891" s="36"/>
      <c r="AC891" s="36"/>
    </row>
    <row r="892" ht="12.75" customHeight="1">
      <c r="A892" s="58"/>
      <c r="B892" s="59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AB892" s="36"/>
      <c r="AC892" s="36"/>
    </row>
    <row r="893" ht="12.75" customHeight="1">
      <c r="A893" s="58"/>
      <c r="B893" s="59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AB893" s="36"/>
      <c r="AC893" s="36"/>
    </row>
    <row r="894" ht="12.75" customHeight="1">
      <c r="A894" s="58"/>
      <c r="B894" s="59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AB894" s="36"/>
      <c r="AC894" s="36"/>
    </row>
    <row r="895" ht="12.75" customHeight="1">
      <c r="A895" s="58"/>
      <c r="B895" s="59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AB895" s="36"/>
      <c r="AC895" s="36"/>
    </row>
    <row r="896" ht="12.75" customHeight="1">
      <c r="A896" s="58"/>
      <c r="B896" s="59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AB896" s="36"/>
      <c r="AC896" s="36"/>
    </row>
    <row r="897" ht="12.75" customHeight="1">
      <c r="A897" s="58"/>
      <c r="B897" s="59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AB897" s="36"/>
      <c r="AC897" s="36"/>
    </row>
    <row r="898" ht="12.75" customHeight="1">
      <c r="A898" s="58"/>
      <c r="B898" s="59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AB898" s="36"/>
      <c r="AC898" s="36"/>
    </row>
    <row r="899" ht="12.75" customHeight="1">
      <c r="A899" s="58"/>
      <c r="B899" s="59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AB899" s="36"/>
      <c r="AC899" s="36"/>
    </row>
    <row r="900" ht="12.75" customHeight="1">
      <c r="A900" s="58"/>
      <c r="B900" s="59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AB900" s="36"/>
      <c r="AC900" s="36"/>
    </row>
    <row r="901" ht="12.75" customHeight="1">
      <c r="A901" s="58"/>
      <c r="B901" s="59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AB901" s="36"/>
      <c r="AC901" s="36"/>
    </row>
    <row r="902" ht="12.75" customHeight="1">
      <c r="A902" s="58"/>
      <c r="B902" s="59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AB902" s="36"/>
      <c r="AC902" s="36"/>
    </row>
    <row r="903" ht="12.75" customHeight="1">
      <c r="A903" s="58"/>
      <c r="B903" s="59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AB903" s="36"/>
      <c r="AC903" s="36"/>
    </row>
    <row r="904" ht="12.75" customHeight="1">
      <c r="A904" s="58"/>
      <c r="B904" s="59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AB904" s="36"/>
      <c r="AC904" s="36"/>
    </row>
    <row r="905" ht="12.75" customHeight="1">
      <c r="A905" s="58"/>
      <c r="B905" s="59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AB905" s="36"/>
      <c r="AC905" s="36"/>
    </row>
    <row r="906" ht="12.75" customHeight="1">
      <c r="A906" s="58"/>
      <c r="B906" s="59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AB906" s="36"/>
      <c r="AC906" s="36"/>
    </row>
    <row r="907" ht="12.75" customHeight="1">
      <c r="A907" s="58"/>
      <c r="B907" s="59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AB907" s="36"/>
      <c r="AC907" s="36"/>
    </row>
    <row r="908" ht="12.75" customHeight="1">
      <c r="A908" s="58"/>
      <c r="B908" s="59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AB908" s="36"/>
      <c r="AC908" s="36"/>
    </row>
    <row r="909" ht="12.75" customHeight="1">
      <c r="A909" s="58"/>
      <c r="B909" s="59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AB909" s="36"/>
      <c r="AC909" s="36"/>
    </row>
    <row r="910" ht="12.75" customHeight="1">
      <c r="A910" s="58"/>
      <c r="B910" s="59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AB910" s="36"/>
      <c r="AC910" s="36"/>
    </row>
    <row r="911" ht="12.75" customHeight="1">
      <c r="A911" s="58"/>
      <c r="B911" s="59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AB911" s="36"/>
      <c r="AC911" s="36"/>
    </row>
    <row r="912" ht="12.75" customHeight="1">
      <c r="A912" s="58"/>
      <c r="B912" s="59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AB912" s="36"/>
      <c r="AC912" s="36"/>
    </row>
    <row r="913" ht="12.75" customHeight="1">
      <c r="A913" s="58"/>
      <c r="B913" s="59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AB913" s="36"/>
      <c r="AC913" s="36"/>
    </row>
    <row r="914" ht="12.75" customHeight="1">
      <c r="A914" s="58"/>
      <c r="B914" s="59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AB914" s="36"/>
      <c r="AC914" s="36"/>
    </row>
    <row r="915" ht="12.75" customHeight="1">
      <c r="A915" s="58"/>
      <c r="B915" s="59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AB915" s="36"/>
      <c r="AC915" s="36"/>
    </row>
    <row r="916" ht="12.75" customHeight="1">
      <c r="A916" s="58"/>
      <c r="B916" s="59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AB916" s="36"/>
      <c r="AC916" s="36"/>
    </row>
    <row r="917" ht="12.75" customHeight="1">
      <c r="A917" s="58"/>
      <c r="B917" s="59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AB917" s="36"/>
      <c r="AC917" s="36"/>
    </row>
    <row r="918" ht="12.75" customHeight="1">
      <c r="A918" s="58"/>
      <c r="B918" s="59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AB918" s="36"/>
      <c r="AC918" s="36"/>
    </row>
    <row r="919" ht="12.75" customHeight="1">
      <c r="A919" s="58"/>
      <c r="B919" s="59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AB919" s="36"/>
      <c r="AC919" s="36"/>
    </row>
    <row r="920" ht="12.75" customHeight="1">
      <c r="A920" s="58"/>
      <c r="B920" s="59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AB920" s="36"/>
      <c r="AC920" s="36"/>
    </row>
    <row r="921" ht="12.75" customHeight="1">
      <c r="A921" s="58"/>
      <c r="B921" s="59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AB921" s="36"/>
      <c r="AC921" s="36"/>
    </row>
    <row r="922" ht="12.75" customHeight="1">
      <c r="A922" s="58"/>
      <c r="B922" s="59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AB922" s="36"/>
      <c r="AC922" s="36"/>
    </row>
    <row r="923" ht="12.75" customHeight="1">
      <c r="A923" s="58"/>
      <c r="B923" s="59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AB923" s="36"/>
      <c r="AC923" s="36"/>
    </row>
    <row r="924" ht="12.75" customHeight="1">
      <c r="A924" s="58"/>
      <c r="B924" s="59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AB924" s="36"/>
      <c r="AC924" s="36"/>
    </row>
    <row r="925" ht="12.75" customHeight="1">
      <c r="A925" s="58"/>
      <c r="B925" s="59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AB925" s="36"/>
      <c r="AC925" s="36"/>
    </row>
    <row r="926" ht="12.75" customHeight="1">
      <c r="A926" s="58"/>
      <c r="B926" s="59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AB926" s="36"/>
      <c r="AC926" s="36"/>
    </row>
    <row r="927" ht="12.75" customHeight="1">
      <c r="A927" s="58"/>
      <c r="B927" s="59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AB927" s="36"/>
      <c r="AC927" s="36"/>
    </row>
    <row r="928" ht="12.75" customHeight="1">
      <c r="A928" s="58"/>
      <c r="B928" s="59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AB928" s="36"/>
      <c r="AC928" s="36"/>
    </row>
    <row r="929" ht="12.75" customHeight="1">
      <c r="A929" s="58"/>
      <c r="B929" s="59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AB929" s="36"/>
      <c r="AC929" s="36"/>
    </row>
    <row r="930" ht="12.75" customHeight="1">
      <c r="A930" s="58"/>
      <c r="B930" s="59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AB930" s="36"/>
      <c r="AC930" s="36"/>
    </row>
    <row r="931" ht="12.75" customHeight="1">
      <c r="A931" s="58"/>
      <c r="B931" s="59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AB931" s="36"/>
      <c r="AC931" s="36"/>
    </row>
    <row r="932" ht="12.75" customHeight="1">
      <c r="A932" s="58"/>
      <c r="B932" s="59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AB932" s="36"/>
      <c r="AC932" s="36"/>
    </row>
    <row r="933" ht="12.75" customHeight="1">
      <c r="A933" s="58"/>
      <c r="B933" s="59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AB933" s="36"/>
      <c r="AC933" s="36"/>
    </row>
    <row r="934" ht="12.75" customHeight="1">
      <c r="A934" s="58"/>
      <c r="B934" s="59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AB934" s="36"/>
      <c r="AC934" s="36"/>
    </row>
    <row r="935" ht="12.75" customHeight="1">
      <c r="A935" s="58"/>
      <c r="B935" s="59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AB935" s="36"/>
      <c r="AC935" s="36"/>
    </row>
    <row r="936" ht="12.75" customHeight="1">
      <c r="A936" s="58"/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AB936" s="36"/>
      <c r="AC936" s="36"/>
    </row>
    <row r="937" ht="12.75" customHeight="1">
      <c r="A937" s="58"/>
      <c r="B937" s="59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AB937" s="36"/>
      <c r="AC937" s="36"/>
    </row>
    <row r="938" ht="12.75" customHeight="1">
      <c r="A938" s="58"/>
      <c r="B938" s="59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AB938" s="36"/>
      <c r="AC938" s="36"/>
    </row>
    <row r="939" ht="12.75" customHeight="1">
      <c r="A939" s="58"/>
      <c r="B939" s="59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AB939" s="36"/>
      <c r="AC939" s="36"/>
    </row>
    <row r="940" ht="12.75" customHeight="1">
      <c r="A940" s="58"/>
      <c r="B940" s="59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AB940" s="36"/>
      <c r="AC940" s="36"/>
    </row>
    <row r="941" ht="12.75" customHeight="1">
      <c r="A941" s="58"/>
      <c r="B941" s="59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AB941" s="36"/>
      <c r="AC941" s="36"/>
    </row>
    <row r="942" ht="12.75" customHeight="1">
      <c r="A942" s="58"/>
      <c r="B942" s="59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AB942" s="36"/>
      <c r="AC942" s="36"/>
    </row>
    <row r="943" ht="12.75" customHeight="1">
      <c r="A943" s="58"/>
      <c r="B943" s="59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AB943" s="36"/>
      <c r="AC943" s="36"/>
    </row>
    <row r="944" ht="12.75" customHeight="1">
      <c r="A944" s="58"/>
      <c r="B944" s="59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AB944" s="36"/>
      <c r="AC944" s="36"/>
    </row>
    <row r="945" ht="12.75" customHeight="1">
      <c r="A945" s="58"/>
      <c r="B945" s="59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AB945" s="36"/>
      <c r="AC945" s="36"/>
    </row>
    <row r="946" ht="12.75" customHeight="1">
      <c r="A946" s="58"/>
      <c r="B946" s="59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AB946" s="36"/>
      <c r="AC946" s="36"/>
    </row>
    <row r="947" ht="12.75" customHeight="1">
      <c r="A947" s="58"/>
      <c r="B947" s="59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AB947" s="36"/>
      <c r="AC947" s="36"/>
    </row>
    <row r="948" ht="12.75" customHeight="1">
      <c r="A948" s="58"/>
      <c r="B948" s="59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AB948" s="36"/>
      <c r="AC948" s="36"/>
    </row>
    <row r="949" ht="12.75" customHeight="1">
      <c r="A949" s="58"/>
      <c r="B949" s="59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AB949" s="36"/>
      <c r="AC949" s="36"/>
    </row>
    <row r="950" ht="12.75" customHeight="1">
      <c r="A950" s="58"/>
      <c r="B950" s="59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AB950" s="36"/>
      <c r="AC950" s="36"/>
    </row>
    <row r="951" ht="12.75" customHeight="1">
      <c r="A951" s="58"/>
      <c r="B951" s="59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AB951" s="36"/>
      <c r="AC951" s="36"/>
    </row>
    <row r="952" ht="12.75" customHeight="1">
      <c r="A952" s="58"/>
      <c r="B952" s="59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AB952" s="36"/>
      <c r="AC952" s="36"/>
    </row>
    <row r="953" ht="12.75" customHeight="1">
      <c r="A953" s="58"/>
      <c r="B953" s="59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AB953" s="36"/>
      <c r="AC953" s="36"/>
    </row>
    <row r="954" ht="12.75" customHeight="1">
      <c r="A954" s="58"/>
      <c r="B954" s="59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AB954" s="36"/>
      <c r="AC954" s="36"/>
    </row>
    <row r="955" ht="12.75" customHeight="1">
      <c r="A955" s="58"/>
      <c r="B955" s="59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AB955" s="36"/>
      <c r="AC955" s="36"/>
    </row>
    <row r="956" ht="12.75" customHeight="1">
      <c r="A956" s="58"/>
      <c r="B956" s="59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AB956" s="36"/>
      <c r="AC956" s="36"/>
    </row>
    <row r="957" ht="12.75" customHeight="1">
      <c r="A957" s="58"/>
      <c r="B957" s="59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AB957" s="36"/>
      <c r="AC957" s="36"/>
    </row>
    <row r="958" ht="12.75" customHeight="1">
      <c r="A958" s="58"/>
      <c r="B958" s="59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AB958" s="36"/>
      <c r="AC958" s="36"/>
    </row>
    <row r="959" ht="12.75" customHeight="1">
      <c r="A959" s="58"/>
      <c r="B959" s="59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AB959" s="36"/>
      <c r="AC959" s="36"/>
    </row>
    <row r="960" ht="12.75" customHeight="1">
      <c r="A960" s="58"/>
      <c r="B960" s="59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AB960" s="36"/>
      <c r="AC960" s="36"/>
    </row>
    <row r="961" ht="12.75" customHeight="1">
      <c r="A961" s="58"/>
      <c r="B961" s="59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AB961" s="36"/>
      <c r="AC961" s="36"/>
    </row>
    <row r="962" ht="12.75" customHeight="1">
      <c r="A962" s="58"/>
      <c r="B962" s="59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AB962" s="36"/>
      <c r="AC962" s="36"/>
    </row>
    <row r="963" ht="12.75" customHeight="1">
      <c r="A963" s="58"/>
      <c r="B963" s="59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AB963" s="36"/>
      <c r="AC963" s="36"/>
    </row>
    <row r="964" ht="12.75" customHeight="1">
      <c r="A964" s="58"/>
      <c r="B964" s="59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AB964" s="36"/>
      <c r="AC964" s="36"/>
    </row>
    <row r="965" ht="12.75" customHeight="1">
      <c r="A965" s="58"/>
      <c r="B965" s="59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AB965" s="36"/>
      <c r="AC965" s="36"/>
    </row>
    <row r="966" ht="12.75" customHeight="1">
      <c r="A966" s="58"/>
      <c r="B966" s="59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AB966" s="36"/>
      <c r="AC966" s="36"/>
    </row>
    <row r="967" ht="12.75" customHeight="1">
      <c r="A967" s="58"/>
      <c r="B967" s="59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AB967" s="36"/>
      <c r="AC967" s="36"/>
    </row>
    <row r="968" ht="12.75" customHeight="1">
      <c r="A968" s="58"/>
      <c r="B968" s="59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AB968" s="36"/>
      <c r="AC968" s="36"/>
    </row>
    <row r="969" ht="12.75" customHeight="1">
      <c r="A969" s="58"/>
      <c r="B969" s="59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AB969" s="36"/>
      <c r="AC969" s="36"/>
    </row>
    <row r="970" ht="12.75" customHeight="1">
      <c r="A970" s="58"/>
      <c r="B970" s="59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AB970" s="36"/>
      <c r="AC970" s="36"/>
    </row>
    <row r="971" ht="12.75" customHeight="1">
      <c r="A971" s="58"/>
      <c r="B971" s="59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AB971" s="36"/>
      <c r="AC971" s="36"/>
    </row>
    <row r="972" ht="12.75" customHeight="1">
      <c r="A972" s="58"/>
      <c r="B972" s="59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AB972" s="36"/>
      <c r="AC972" s="36"/>
    </row>
    <row r="973" ht="12.75" customHeight="1">
      <c r="A973" s="58"/>
      <c r="B973" s="59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AB973" s="36"/>
      <c r="AC973" s="36"/>
    </row>
    <row r="974" ht="12.75" customHeight="1">
      <c r="A974" s="58"/>
      <c r="B974" s="59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AB974" s="36"/>
      <c r="AC974" s="36"/>
    </row>
    <row r="975" ht="12.75" customHeight="1">
      <c r="A975" s="58"/>
      <c r="B975" s="59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AB975" s="36"/>
      <c r="AC975" s="36"/>
    </row>
    <row r="976" ht="12.75" customHeight="1">
      <c r="A976" s="58"/>
      <c r="B976" s="59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AB976" s="36"/>
      <c r="AC976" s="36"/>
    </row>
    <row r="977" ht="12.75" customHeight="1">
      <c r="A977" s="58"/>
      <c r="B977" s="59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AB977" s="36"/>
      <c r="AC977" s="36"/>
    </row>
    <row r="978" ht="12.75" customHeight="1">
      <c r="A978" s="58"/>
      <c r="B978" s="59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AB978" s="36"/>
      <c r="AC978" s="36"/>
    </row>
    <row r="979" ht="12.75" customHeight="1">
      <c r="A979" s="58"/>
      <c r="B979" s="59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AB979" s="36"/>
      <c r="AC979" s="36"/>
    </row>
    <row r="980" ht="12.75" customHeight="1">
      <c r="A980" s="58"/>
      <c r="B980" s="59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AB980" s="36"/>
      <c r="AC980" s="36"/>
    </row>
    <row r="981" ht="12.75" customHeight="1">
      <c r="A981" s="58"/>
      <c r="B981" s="59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AB981" s="36"/>
      <c r="AC981" s="36"/>
    </row>
    <row r="982" ht="12.75" customHeight="1">
      <c r="A982" s="58"/>
      <c r="B982" s="59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AB982" s="36"/>
      <c r="AC982" s="36"/>
    </row>
    <row r="983" ht="12.75" customHeight="1">
      <c r="A983" s="58"/>
      <c r="B983" s="59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AB983" s="36"/>
      <c r="AC983" s="36"/>
    </row>
    <row r="984" ht="12.75" customHeight="1">
      <c r="A984" s="58"/>
      <c r="B984" s="59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AB984" s="36"/>
      <c r="AC984" s="36"/>
    </row>
    <row r="985" ht="12.75" customHeight="1">
      <c r="A985" s="58"/>
      <c r="B985" s="59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AB985" s="36"/>
      <c r="AC985" s="36"/>
    </row>
    <row r="986" ht="12.75" customHeight="1">
      <c r="A986" s="58"/>
      <c r="B986" s="59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AB986" s="36"/>
      <c r="AC986" s="36"/>
    </row>
    <row r="987" ht="12.75" customHeight="1">
      <c r="A987" s="58"/>
      <c r="B987" s="59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AB987" s="36"/>
      <c r="AC987" s="36"/>
    </row>
    <row r="988" ht="12.75" customHeight="1">
      <c r="A988" s="58"/>
      <c r="B988" s="59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AB988" s="36"/>
      <c r="AC988" s="36"/>
    </row>
    <row r="989" ht="12.75" customHeight="1">
      <c r="A989" s="58"/>
      <c r="B989" s="59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AB989" s="36"/>
      <c r="AC989" s="36"/>
    </row>
    <row r="990" ht="12.75" customHeight="1">
      <c r="A990" s="58"/>
      <c r="B990" s="59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AB990" s="36"/>
      <c r="AC990" s="36"/>
    </row>
    <row r="991" ht="12.75" customHeight="1">
      <c r="A991" s="58"/>
      <c r="B991" s="59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AB991" s="36"/>
      <c r="AC991" s="36"/>
    </row>
    <row r="992" ht="12.75" customHeight="1">
      <c r="A992" s="58"/>
      <c r="B992" s="59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AB992" s="36"/>
      <c r="AC992" s="36"/>
    </row>
    <row r="993" ht="12.75" customHeight="1">
      <c r="A993" s="58"/>
      <c r="B993" s="59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AB993" s="36"/>
      <c r="AC993" s="36"/>
    </row>
    <row r="994" ht="12.75" customHeight="1">
      <c r="A994" s="58"/>
      <c r="B994" s="59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AB994" s="36"/>
      <c r="AC994" s="36"/>
    </row>
    <row r="995" ht="12.75" customHeight="1">
      <c r="A995" s="58"/>
      <c r="B995" s="59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AB995" s="36"/>
      <c r="AC995" s="36"/>
    </row>
    <row r="996" ht="12.75" customHeight="1">
      <c r="A996" s="58"/>
      <c r="B996" s="59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AB996" s="36"/>
      <c r="AC996" s="36"/>
    </row>
    <row r="997" ht="12.75" customHeight="1">
      <c r="A997" s="58"/>
      <c r="B997" s="59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AB997" s="36"/>
      <c r="AC997" s="36"/>
    </row>
    <row r="998" ht="12.75" customHeight="1">
      <c r="A998" s="58"/>
      <c r="B998" s="59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AB998" s="36"/>
      <c r="AC998" s="36"/>
    </row>
    <row r="999" ht="12.75" customHeight="1">
      <c r="A999" s="58"/>
      <c r="B999" s="59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AB999" s="36"/>
      <c r="AC999" s="36"/>
    </row>
    <row r="1000" ht="12.75" customHeight="1">
      <c r="A1000" s="58"/>
      <c r="B1000" s="59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AB1000" s="36"/>
      <c r="AC1000" s="36"/>
    </row>
    <row r="1001" ht="12.75" customHeight="1">
      <c r="A1001" s="58"/>
      <c r="B1001" s="59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AB1001" s="36"/>
      <c r="AC1001" s="36"/>
    </row>
    <row r="1002" ht="12.75" customHeight="1">
      <c r="A1002" s="58"/>
      <c r="B1002" s="59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AB1002" s="36"/>
      <c r="AC1002" s="36"/>
    </row>
    <row r="1003" ht="12.75" customHeight="1">
      <c r="A1003" s="58"/>
      <c r="B1003" s="59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AB1003" s="36"/>
      <c r="AC1003" s="36"/>
    </row>
    <row r="1004" ht="12.75" customHeight="1">
      <c r="A1004" s="58"/>
      <c r="B1004" s="59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AB1004" s="36"/>
      <c r="AC1004" s="36"/>
    </row>
    <row r="1005" ht="12.75" customHeight="1">
      <c r="A1005" s="58"/>
      <c r="B1005" s="59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AB1005" s="36"/>
      <c r="AC1005" s="36"/>
    </row>
    <row r="1006" ht="12.75" customHeight="1">
      <c r="A1006" s="58"/>
      <c r="B1006" s="59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AB1006" s="36"/>
      <c r="AC1006" s="36"/>
    </row>
    <row r="1007" ht="12.75" customHeight="1">
      <c r="A1007" s="58"/>
      <c r="B1007" s="59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AB1007" s="36"/>
      <c r="AC1007" s="36"/>
    </row>
  </sheetData>
  <mergeCells count="13">
    <mergeCell ref="A45:B45"/>
    <mergeCell ref="A46:B46"/>
    <mergeCell ref="C47:O47"/>
    <mergeCell ref="C50:O50"/>
    <mergeCell ref="C56:O56"/>
    <mergeCell ref="C62:O62"/>
    <mergeCell ref="A15:B15"/>
    <mergeCell ref="A16:B16"/>
    <mergeCell ref="A24:B24"/>
    <mergeCell ref="C25:O25"/>
    <mergeCell ref="C37:O37"/>
    <mergeCell ref="A39:B39"/>
    <mergeCell ref="C43:O43"/>
  </mergeCells>
  <conditionalFormatting sqref="C46:AA46">
    <cfRule type="cellIs" dxfId="0" priority="1" operator="greaterThan">
      <formula>0</formula>
    </cfRule>
  </conditionalFormatting>
  <conditionalFormatting sqref="C46:AA46">
    <cfRule type="cellIs" dxfId="1" priority="2" operator="lessThanOrEqual">
      <formula>0</formula>
    </cfRule>
  </conditionalFormatting>
  <conditionalFormatting sqref="C76:AA76">
    <cfRule type="cellIs" dxfId="2" priority="3" operator="less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D2" s="65" t="s">
        <v>65</v>
      </c>
    </row>
    <row r="3">
      <c r="C3" s="65">
        <v>1.0</v>
      </c>
      <c r="D3" s="65">
        <v>20.0</v>
      </c>
      <c r="E3" s="66">
        <f>D3/D5</f>
        <v>0.2857142857</v>
      </c>
      <c r="F3" s="67">
        <f>E7*E3</f>
        <v>5714.285714</v>
      </c>
    </row>
    <row r="4">
      <c r="C4" s="65">
        <v>2.0</v>
      </c>
      <c r="D4" s="65">
        <v>50.0</v>
      </c>
      <c r="E4" s="66">
        <f>D4/D5</f>
        <v>0.7142857143</v>
      </c>
      <c r="F4" s="67">
        <f>E7*E4</f>
        <v>14285.71429</v>
      </c>
    </row>
    <row r="5">
      <c r="D5" s="67">
        <f>D3+D4</f>
        <v>70</v>
      </c>
    </row>
    <row r="7">
      <c r="D7" s="65" t="s">
        <v>66</v>
      </c>
      <c r="E7" s="65">
        <v>20000.0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50.57"/>
  </cols>
  <sheetData>
    <row r="1">
      <c r="B1" s="58"/>
      <c r="C1" s="58"/>
      <c r="D1" s="58"/>
      <c r="E1" s="58"/>
      <c r="F1" s="58"/>
      <c r="G1" s="58"/>
    </row>
    <row r="2">
      <c r="B2" s="58"/>
      <c r="C2" s="58"/>
      <c r="D2" s="58"/>
      <c r="E2" s="58"/>
      <c r="F2" s="58"/>
      <c r="G2" s="58"/>
    </row>
    <row r="3">
      <c r="A3" s="68">
        <v>1.0</v>
      </c>
      <c r="B3" s="68" t="s">
        <v>67</v>
      </c>
      <c r="C3" s="58"/>
      <c r="D3" s="58"/>
      <c r="E3" s="58"/>
      <c r="F3" s="58"/>
      <c r="G3" s="58"/>
    </row>
    <row r="4">
      <c r="B4" s="69" t="s">
        <v>68</v>
      </c>
      <c r="C4" s="69"/>
      <c r="D4" s="58"/>
      <c r="E4" s="58"/>
      <c r="F4" s="58"/>
      <c r="G4" s="58"/>
    </row>
    <row r="5">
      <c r="B5" s="69"/>
      <c r="C5" s="58"/>
      <c r="D5" s="58"/>
      <c r="E5" s="58"/>
      <c r="F5" s="58"/>
      <c r="G5" s="58"/>
    </row>
    <row r="6">
      <c r="B6" s="69" t="s">
        <v>69</v>
      </c>
      <c r="C6" s="58"/>
      <c r="D6" s="58"/>
      <c r="E6" s="58"/>
      <c r="F6" s="58"/>
      <c r="G6" s="58"/>
    </row>
    <row r="7">
      <c r="B7" s="69" t="s">
        <v>70</v>
      </c>
      <c r="C7" s="58"/>
      <c r="D7" s="58"/>
      <c r="E7" s="58"/>
      <c r="F7" s="58"/>
      <c r="G7" s="58"/>
    </row>
    <row r="8">
      <c r="B8" s="58"/>
      <c r="C8" s="58"/>
      <c r="D8" s="58"/>
      <c r="E8" s="58"/>
      <c r="F8" s="58"/>
      <c r="G8" s="58"/>
    </row>
    <row r="9">
      <c r="A9" s="68">
        <v>2.0</v>
      </c>
      <c r="B9" s="70" t="s">
        <v>71</v>
      </c>
      <c r="C9" s="58"/>
      <c r="D9" s="58"/>
      <c r="E9" s="58"/>
      <c r="F9" s="58"/>
      <c r="G9" s="58"/>
    </row>
    <row r="10">
      <c r="B10" s="69" t="s">
        <v>72</v>
      </c>
      <c r="C10" s="71">
        <f>644/295</f>
        <v>2.183050847</v>
      </c>
      <c r="D10" s="58"/>
      <c r="E10" s="58"/>
      <c r="F10" s="58"/>
      <c r="G10" s="58"/>
    </row>
    <row r="11">
      <c r="B11" s="69"/>
      <c r="C11" s="58"/>
      <c r="D11" s="58"/>
      <c r="E11" s="58"/>
      <c r="F11" s="58"/>
      <c r="G11" s="58"/>
    </row>
    <row r="12">
      <c r="B12" s="69" t="s">
        <v>69</v>
      </c>
      <c r="C12" s="58"/>
      <c r="D12" s="58"/>
      <c r="E12" s="58"/>
      <c r="F12" s="58"/>
      <c r="G12" s="58"/>
    </row>
    <row r="13">
      <c r="B13" s="69" t="s">
        <v>70</v>
      </c>
      <c r="C13" s="58"/>
      <c r="D13" s="58"/>
      <c r="E13" s="58"/>
      <c r="F13" s="58"/>
      <c r="G13" s="58"/>
    </row>
    <row r="14">
      <c r="B14" s="58"/>
      <c r="C14" s="58"/>
      <c r="D14" s="58"/>
      <c r="E14" s="58"/>
      <c r="F14" s="58"/>
      <c r="G14" s="58"/>
    </row>
    <row r="15">
      <c r="B15" s="58"/>
      <c r="C15" s="58"/>
      <c r="D15" s="58"/>
      <c r="E15" s="58"/>
      <c r="F15" s="58"/>
      <c r="G15" s="58"/>
    </row>
    <row r="16">
      <c r="B16" s="58"/>
      <c r="C16" s="58"/>
      <c r="D16" s="58"/>
      <c r="E16" s="58"/>
      <c r="F16" s="58"/>
      <c r="G16" s="58"/>
    </row>
    <row r="17">
      <c r="B17" s="58"/>
      <c r="C17" s="58"/>
      <c r="D17" s="58"/>
      <c r="E17" s="58"/>
      <c r="F17" s="58"/>
      <c r="G17" s="58"/>
    </row>
    <row r="18">
      <c r="B18" s="58"/>
      <c r="C18" s="58"/>
      <c r="D18" s="58"/>
      <c r="E18" s="58"/>
      <c r="F18" s="58"/>
      <c r="G18" s="58"/>
    </row>
    <row r="19">
      <c r="B19" s="58"/>
      <c r="C19" s="58"/>
      <c r="D19" s="58"/>
      <c r="E19" s="58"/>
      <c r="F19" s="58"/>
      <c r="G19" s="58"/>
    </row>
    <row r="20">
      <c r="B20" s="58"/>
      <c r="C20" s="58"/>
      <c r="D20" s="58"/>
      <c r="E20" s="58"/>
      <c r="F20" s="58"/>
      <c r="G20" s="58"/>
    </row>
    <row r="21">
      <c r="B21" s="58"/>
      <c r="C21" s="58"/>
      <c r="D21" s="58"/>
      <c r="E21" s="58"/>
      <c r="F21" s="58"/>
      <c r="G21" s="58"/>
    </row>
    <row r="22">
      <c r="B22" s="58"/>
      <c r="C22" s="58"/>
      <c r="D22" s="58"/>
      <c r="E22" s="58"/>
      <c r="F22" s="58"/>
      <c r="G22" s="58"/>
    </row>
    <row r="23">
      <c r="B23" s="58"/>
      <c r="C23" s="58"/>
      <c r="D23" s="58"/>
      <c r="E23" s="58"/>
      <c r="F23" s="58"/>
      <c r="G23" s="58"/>
    </row>
    <row r="24">
      <c r="B24" s="58"/>
      <c r="C24" s="58"/>
      <c r="D24" s="58"/>
      <c r="E24" s="58"/>
      <c r="F24" s="58"/>
      <c r="G24" s="58"/>
    </row>
    <row r="25">
      <c r="B25" s="58"/>
      <c r="C25" s="58"/>
      <c r="D25" s="58"/>
      <c r="E25" s="58"/>
      <c r="F25" s="58"/>
      <c r="G25" s="58"/>
    </row>
    <row r="26">
      <c r="B26" s="58"/>
      <c r="C26" s="58"/>
      <c r="D26" s="58"/>
      <c r="E26" s="58"/>
      <c r="F26" s="58"/>
      <c r="G26" s="58"/>
    </row>
    <row r="27">
      <c r="B27" s="58"/>
      <c r="C27" s="58"/>
      <c r="D27" s="58"/>
      <c r="E27" s="58"/>
      <c r="F27" s="58"/>
      <c r="G27" s="58"/>
    </row>
    <row r="28">
      <c r="B28" s="58"/>
      <c r="C28" s="58"/>
      <c r="D28" s="58"/>
      <c r="E28" s="58"/>
      <c r="F28" s="58"/>
      <c r="G28" s="58"/>
    </row>
    <row r="29">
      <c r="B29" s="58"/>
      <c r="C29" s="58"/>
      <c r="D29" s="58"/>
      <c r="E29" s="58"/>
      <c r="F29" s="58"/>
      <c r="G29" s="58"/>
    </row>
    <row r="30">
      <c r="B30" s="58"/>
      <c r="C30" s="58"/>
      <c r="D30" s="58"/>
      <c r="E30" s="58"/>
      <c r="F30" s="58"/>
      <c r="G30" s="58"/>
    </row>
    <row r="31">
      <c r="B31" s="58"/>
      <c r="C31" s="58"/>
      <c r="D31" s="58"/>
      <c r="E31" s="58"/>
      <c r="F31" s="58"/>
      <c r="G31" s="58"/>
    </row>
    <row r="32">
      <c r="B32" s="58"/>
      <c r="C32" s="58"/>
      <c r="D32" s="58"/>
      <c r="E32" s="58"/>
      <c r="F32" s="58"/>
      <c r="G32" s="58"/>
    </row>
    <row r="33">
      <c r="B33" s="58"/>
      <c r="C33" s="58"/>
      <c r="D33" s="58"/>
      <c r="E33" s="58"/>
      <c r="F33" s="58"/>
      <c r="G33" s="58"/>
    </row>
    <row r="34">
      <c r="B34" s="58"/>
      <c r="C34" s="58"/>
      <c r="D34" s="58"/>
      <c r="E34" s="58"/>
      <c r="F34" s="58"/>
      <c r="G34" s="58"/>
    </row>
    <row r="35">
      <c r="B35" s="58"/>
      <c r="C35" s="58"/>
      <c r="D35" s="58"/>
      <c r="E35" s="58"/>
      <c r="F35" s="58"/>
      <c r="G35" s="58"/>
    </row>
    <row r="36">
      <c r="B36" s="58"/>
      <c r="C36" s="58"/>
      <c r="D36" s="58"/>
      <c r="E36" s="58"/>
      <c r="F36" s="58"/>
      <c r="G36" s="58"/>
    </row>
    <row r="37">
      <c r="B37" s="58"/>
      <c r="C37" s="58"/>
      <c r="D37" s="58"/>
      <c r="E37" s="58"/>
      <c r="F37" s="58"/>
      <c r="G37" s="58"/>
    </row>
    <row r="38">
      <c r="B38" s="58"/>
      <c r="C38" s="58"/>
      <c r="D38" s="58"/>
      <c r="E38" s="58"/>
      <c r="F38" s="58"/>
      <c r="G38" s="58"/>
    </row>
    <row r="39">
      <c r="B39" s="58"/>
      <c r="C39" s="58"/>
      <c r="D39" s="58"/>
      <c r="E39" s="58"/>
      <c r="F39" s="58"/>
      <c r="G39" s="58"/>
    </row>
    <row r="40">
      <c r="B40" s="58"/>
      <c r="C40" s="58"/>
      <c r="D40" s="58"/>
      <c r="E40" s="58"/>
      <c r="F40" s="58"/>
      <c r="G40" s="58"/>
    </row>
    <row r="41">
      <c r="B41" s="58"/>
      <c r="C41" s="58"/>
      <c r="D41" s="58"/>
      <c r="E41" s="58"/>
      <c r="F41" s="58"/>
      <c r="G41" s="58"/>
    </row>
    <row r="42">
      <c r="B42" s="58"/>
      <c r="C42" s="58"/>
      <c r="D42" s="58"/>
      <c r="E42" s="58"/>
      <c r="F42" s="58"/>
      <c r="G42" s="58"/>
    </row>
    <row r="43">
      <c r="B43" s="58"/>
      <c r="C43" s="58"/>
      <c r="D43" s="58"/>
      <c r="E43" s="58"/>
      <c r="F43" s="58"/>
      <c r="G43" s="58"/>
    </row>
    <row r="44">
      <c r="B44" s="58"/>
      <c r="C44" s="58"/>
      <c r="D44" s="58"/>
      <c r="E44" s="58"/>
      <c r="F44" s="58"/>
      <c r="G44" s="58"/>
    </row>
    <row r="45">
      <c r="B45" s="58"/>
      <c r="C45" s="58"/>
      <c r="D45" s="58"/>
      <c r="E45" s="58"/>
      <c r="F45" s="58"/>
      <c r="G45" s="58"/>
    </row>
    <row r="46">
      <c r="B46" s="58"/>
      <c r="C46" s="58"/>
      <c r="D46" s="58"/>
      <c r="E46" s="58"/>
      <c r="F46" s="58"/>
      <c r="G46" s="58"/>
    </row>
    <row r="47">
      <c r="B47" s="58"/>
      <c r="C47" s="58"/>
      <c r="D47" s="58"/>
      <c r="E47" s="58"/>
      <c r="F47" s="58"/>
      <c r="G47" s="58"/>
    </row>
    <row r="48">
      <c r="B48" s="58"/>
      <c r="C48" s="58"/>
      <c r="D48" s="58"/>
      <c r="E48" s="58"/>
      <c r="F48" s="58"/>
      <c r="G48" s="58"/>
    </row>
    <row r="49">
      <c r="B49" s="58"/>
      <c r="C49" s="58"/>
      <c r="D49" s="58"/>
      <c r="E49" s="58"/>
      <c r="F49" s="58"/>
      <c r="G49" s="58"/>
    </row>
    <row r="50">
      <c r="B50" s="58"/>
      <c r="C50" s="58"/>
      <c r="D50" s="58"/>
      <c r="E50" s="58"/>
      <c r="F50" s="58"/>
      <c r="G50" s="58"/>
    </row>
    <row r="51">
      <c r="B51" s="58"/>
      <c r="C51" s="58"/>
      <c r="D51" s="58"/>
      <c r="E51" s="58"/>
      <c r="F51" s="58"/>
      <c r="G51" s="58"/>
    </row>
    <row r="52">
      <c r="B52" s="58"/>
      <c r="C52" s="58"/>
      <c r="D52" s="58"/>
      <c r="E52" s="58"/>
      <c r="F52" s="58"/>
      <c r="G52" s="58"/>
    </row>
    <row r="53">
      <c r="B53" s="58"/>
      <c r="C53" s="58"/>
      <c r="D53" s="58"/>
      <c r="E53" s="58"/>
      <c r="F53" s="58"/>
      <c r="G53" s="58"/>
    </row>
    <row r="54">
      <c r="B54" s="58"/>
      <c r="C54" s="58"/>
      <c r="D54" s="58"/>
      <c r="E54" s="58"/>
      <c r="F54" s="58"/>
      <c r="G54" s="58"/>
    </row>
    <row r="55">
      <c r="B55" s="58"/>
      <c r="C55" s="58"/>
      <c r="D55" s="58"/>
      <c r="E55" s="58"/>
      <c r="F55" s="58"/>
      <c r="G55" s="58"/>
    </row>
    <row r="56">
      <c r="B56" s="58"/>
      <c r="C56" s="58"/>
      <c r="D56" s="58"/>
      <c r="E56" s="58"/>
      <c r="F56" s="58"/>
      <c r="G56" s="58"/>
    </row>
    <row r="57">
      <c r="B57" s="58"/>
      <c r="C57" s="58"/>
      <c r="D57" s="58"/>
      <c r="E57" s="58"/>
      <c r="F57" s="58"/>
      <c r="G57" s="58"/>
    </row>
    <row r="58">
      <c r="B58" s="58"/>
      <c r="C58" s="58"/>
      <c r="D58" s="58"/>
      <c r="E58" s="58"/>
      <c r="F58" s="58"/>
      <c r="G58" s="58"/>
    </row>
    <row r="59">
      <c r="B59" s="58"/>
      <c r="C59" s="58"/>
      <c r="D59" s="58"/>
      <c r="E59" s="58"/>
      <c r="F59" s="58"/>
      <c r="G59" s="58"/>
    </row>
    <row r="60">
      <c r="B60" s="58"/>
      <c r="C60" s="58"/>
      <c r="D60" s="58"/>
      <c r="E60" s="58"/>
      <c r="F60" s="58"/>
      <c r="G60" s="58"/>
    </row>
    <row r="61">
      <c r="B61" s="58"/>
      <c r="C61" s="58"/>
      <c r="D61" s="58"/>
      <c r="E61" s="58"/>
      <c r="F61" s="58"/>
      <c r="G61" s="58"/>
    </row>
    <row r="62">
      <c r="B62" s="58"/>
      <c r="C62" s="58"/>
      <c r="D62" s="58"/>
      <c r="E62" s="58"/>
      <c r="F62" s="58"/>
      <c r="G62" s="58"/>
    </row>
    <row r="63">
      <c r="B63" s="58"/>
      <c r="C63" s="58"/>
      <c r="D63" s="58"/>
      <c r="E63" s="58"/>
      <c r="F63" s="58"/>
      <c r="G63" s="58"/>
    </row>
    <row r="64">
      <c r="B64" s="58"/>
      <c r="C64" s="58"/>
      <c r="D64" s="58"/>
      <c r="E64" s="58"/>
      <c r="F64" s="58"/>
      <c r="G64" s="58"/>
    </row>
    <row r="65">
      <c r="B65" s="58"/>
      <c r="C65" s="58"/>
      <c r="D65" s="58"/>
      <c r="E65" s="58"/>
      <c r="F65" s="58"/>
      <c r="G65" s="58"/>
    </row>
    <row r="66">
      <c r="B66" s="58"/>
      <c r="C66" s="58"/>
      <c r="D66" s="58"/>
      <c r="E66" s="58"/>
      <c r="F66" s="58"/>
      <c r="G66" s="58"/>
    </row>
    <row r="67">
      <c r="B67" s="58"/>
      <c r="C67" s="58"/>
      <c r="D67" s="58"/>
      <c r="E67" s="58"/>
      <c r="F67" s="58"/>
      <c r="G67" s="58"/>
    </row>
    <row r="68">
      <c r="B68" s="58"/>
      <c r="C68" s="58"/>
      <c r="D68" s="58"/>
      <c r="E68" s="58"/>
      <c r="F68" s="58"/>
      <c r="G68" s="58"/>
    </row>
    <row r="69">
      <c r="B69" s="58"/>
      <c r="C69" s="58"/>
      <c r="D69" s="58"/>
      <c r="E69" s="58"/>
      <c r="F69" s="58"/>
      <c r="G69" s="58"/>
    </row>
    <row r="70">
      <c r="B70" s="58"/>
      <c r="C70" s="58"/>
      <c r="D70" s="58"/>
      <c r="E70" s="58"/>
      <c r="F70" s="58"/>
      <c r="G70" s="58"/>
    </row>
    <row r="71">
      <c r="B71" s="58"/>
      <c r="C71" s="58"/>
      <c r="D71" s="58"/>
      <c r="E71" s="58"/>
      <c r="F71" s="58"/>
      <c r="G71" s="58"/>
    </row>
    <row r="72">
      <c r="B72" s="58"/>
      <c r="C72" s="58"/>
      <c r="D72" s="58"/>
      <c r="E72" s="58"/>
      <c r="F72" s="58"/>
      <c r="G72" s="58"/>
    </row>
    <row r="73">
      <c r="B73" s="58"/>
      <c r="C73" s="58"/>
      <c r="D73" s="58"/>
      <c r="E73" s="58"/>
      <c r="F73" s="58"/>
      <c r="G73" s="58"/>
    </row>
    <row r="74">
      <c r="B74" s="58"/>
      <c r="C74" s="58"/>
      <c r="D74" s="58"/>
      <c r="E74" s="58"/>
      <c r="F74" s="58"/>
      <c r="G74" s="58"/>
    </row>
    <row r="75">
      <c r="B75" s="58"/>
      <c r="C75" s="58"/>
      <c r="D75" s="58"/>
      <c r="E75" s="58"/>
      <c r="F75" s="58"/>
      <c r="G75" s="58"/>
    </row>
    <row r="76">
      <c r="B76" s="58"/>
      <c r="C76" s="58"/>
      <c r="D76" s="58"/>
      <c r="E76" s="58"/>
      <c r="F76" s="58"/>
      <c r="G76" s="58"/>
    </row>
    <row r="77">
      <c r="B77" s="58"/>
      <c r="C77" s="58"/>
      <c r="D77" s="58"/>
      <c r="E77" s="58"/>
      <c r="F77" s="58"/>
      <c r="G77" s="58"/>
    </row>
    <row r="78">
      <c r="B78" s="58"/>
      <c r="C78" s="58"/>
      <c r="D78" s="58"/>
      <c r="E78" s="58"/>
      <c r="F78" s="58"/>
      <c r="G78" s="58"/>
    </row>
    <row r="79">
      <c r="B79" s="58"/>
      <c r="C79" s="58"/>
      <c r="D79" s="58"/>
      <c r="E79" s="58"/>
      <c r="F79" s="58"/>
      <c r="G79" s="58"/>
    </row>
    <row r="80">
      <c r="B80" s="58"/>
      <c r="C80" s="58"/>
      <c r="D80" s="58"/>
      <c r="E80" s="58"/>
      <c r="F80" s="58"/>
      <c r="G80" s="58"/>
    </row>
    <row r="81">
      <c r="B81" s="58"/>
      <c r="C81" s="58"/>
      <c r="D81" s="58"/>
      <c r="E81" s="58"/>
      <c r="F81" s="58"/>
      <c r="G81" s="58"/>
    </row>
    <row r="82">
      <c r="B82" s="58"/>
      <c r="C82" s="58"/>
      <c r="D82" s="58"/>
      <c r="E82" s="58"/>
      <c r="F82" s="58"/>
      <c r="G82" s="58"/>
    </row>
    <row r="83">
      <c r="B83" s="58"/>
      <c r="C83" s="58"/>
      <c r="D83" s="58"/>
      <c r="E83" s="58"/>
      <c r="F83" s="58"/>
      <c r="G83" s="58"/>
    </row>
    <row r="84">
      <c r="B84" s="58"/>
      <c r="C84" s="58"/>
      <c r="D84" s="58"/>
      <c r="E84" s="58"/>
      <c r="F84" s="58"/>
      <c r="G84" s="58"/>
    </row>
    <row r="85">
      <c r="B85" s="58"/>
      <c r="C85" s="58"/>
      <c r="D85" s="58"/>
      <c r="E85" s="58"/>
      <c r="F85" s="58"/>
      <c r="G85" s="58"/>
    </row>
    <row r="86">
      <c r="B86" s="58"/>
      <c r="C86" s="58"/>
      <c r="D86" s="58"/>
      <c r="E86" s="58"/>
      <c r="F86" s="58"/>
      <c r="G86" s="58"/>
    </row>
    <row r="87">
      <c r="B87" s="58"/>
      <c r="C87" s="58"/>
      <c r="D87" s="58"/>
      <c r="E87" s="58"/>
      <c r="F87" s="58"/>
      <c r="G87" s="58"/>
    </row>
    <row r="88">
      <c r="B88" s="58"/>
      <c r="C88" s="58"/>
      <c r="D88" s="58"/>
      <c r="E88" s="58"/>
      <c r="F88" s="58"/>
      <c r="G88" s="58"/>
    </row>
    <row r="89">
      <c r="B89" s="58"/>
      <c r="C89" s="58"/>
      <c r="D89" s="58"/>
      <c r="E89" s="58"/>
      <c r="F89" s="58"/>
      <c r="G89" s="58"/>
    </row>
    <row r="90">
      <c r="B90" s="58"/>
      <c r="C90" s="58"/>
      <c r="D90" s="58"/>
      <c r="E90" s="58"/>
      <c r="F90" s="58"/>
      <c r="G90" s="58"/>
    </row>
    <row r="91">
      <c r="B91" s="58"/>
      <c r="C91" s="58"/>
      <c r="D91" s="58"/>
      <c r="E91" s="58"/>
      <c r="F91" s="58"/>
      <c r="G91" s="58"/>
    </row>
    <row r="92">
      <c r="B92" s="58"/>
      <c r="C92" s="58"/>
      <c r="D92" s="58"/>
      <c r="E92" s="58"/>
      <c r="F92" s="58"/>
      <c r="G92" s="58"/>
    </row>
    <row r="93">
      <c r="B93" s="58"/>
      <c r="C93" s="58"/>
      <c r="D93" s="58"/>
      <c r="E93" s="58"/>
      <c r="F93" s="58"/>
      <c r="G93" s="58"/>
    </row>
    <row r="94">
      <c r="B94" s="58"/>
      <c r="C94" s="58"/>
      <c r="D94" s="58"/>
      <c r="E94" s="58"/>
      <c r="F94" s="58"/>
      <c r="G94" s="58"/>
    </row>
    <row r="95">
      <c r="B95" s="58"/>
      <c r="C95" s="58"/>
      <c r="D95" s="58"/>
      <c r="E95" s="58"/>
      <c r="F95" s="58"/>
      <c r="G95" s="58"/>
    </row>
    <row r="96">
      <c r="B96" s="58"/>
      <c r="C96" s="58"/>
      <c r="D96" s="58"/>
      <c r="E96" s="58"/>
      <c r="F96" s="58"/>
      <c r="G96" s="58"/>
    </row>
    <row r="97">
      <c r="B97" s="58"/>
      <c r="C97" s="58"/>
      <c r="D97" s="58"/>
      <c r="E97" s="58"/>
      <c r="F97" s="58"/>
      <c r="G97" s="58"/>
    </row>
    <row r="98">
      <c r="B98" s="58"/>
      <c r="C98" s="58"/>
      <c r="D98" s="58"/>
      <c r="E98" s="58"/>
      <c r="F98" s="58"/>
      <c r="G98" s="58"/>
    </row>
    <row r="99">
      <c r="B99" s="58"/>
      <c r="C99" s="58"/>
      <c r="D99" s="58"/>
      <c r="E99" s="58"/>
      <c r="F99" s="58"/>
      <c r="G99" s="58"/>
    </row>
    <row r="100">
      <c r="B100" s="58"/>
      <c r="C100" s="58"/>
      <c r="D100" s="58"/>
      <c r="E100" s="58"/>
      <c r="F100" s="58"/>
      <c r="G100" s="58"/>
    </row>
    <row r="101">
      <c r="B101" s="58"/>
      <c r="C101" s="58"/>
      <c r="D101" s="58"/>
      <c r="E101" s="58"/>
      <c r="F101" s="58"/>
      <c r="G101" s="58"/>
    </row>
    <row r="102">
      <c r="B102" s="58"/>
      <c r="C102" s="58"/>
      <c r="D102" s="58"/>
      <c r="E102" s="58"/>
      <c r="F102" s="58"/>
      <c r="G102" s="58"/>
    </row>
    <row r="103">
      <c r="B103" s="58"/>
      <c r="C103" s="58"/>
      <c r="D103" s="58"/>
      <c r="E103" s="58"/>
      <c r="F103" s="58"/>
      <c r="G103" s="58"/>
    </row>
    <row r="104">
      <c r="B104" s="58"/>
      <c r="C104" s="58"/>
      <c r="D104" s="58"/>
      <c r="E104" s="58"/>
      <c r="F104" s="58"/>
      <c r="G104" s="58"/>
    </row>
    <row r="105">
      <c r="B105" s="58"/>
      <c r="C105" s="58"/>
      <c r="D105" s="58"/>
      <c r="E105" s="58"/>
      <c r="F105" s="58"/>
      <c r="G105" s="58"/>
    </row>
    <row r="106">
      <c r="B106" s="58"/>
      <c r="C106" s="58"/>
      <c r="D106" s="58"/>
      <c r="E106" s="58"/>
      <c r="F106" s="58"/>
      <c r="G106" s="58"/>
    </row>
    <row r="107">
      <c r="B107" s="58"/>
      <c r="C107" s="58"/>
      <c r="D107" s="58"/>
      <c r="E107" s="58"/>
      <c r="F107" s="58"/>
      <c r="G107" s="58"/>
    </row>
    <row r="108">
      <c r="B108" s="58"/>
      <c r="C108" s="58"/>
      <c r="D108" s="58"/>
      <c r="E108" s="58"/>
      <c r="F108" s="58"/>
      <c r="G108" s="58"/>
    </row>
    <row r="109">
      <c r="B109" s="58"/>
      <c r="C109" s="58"/>
      <c r="D109" s="58"/>
      <c r="E109" s="58"/>
      <c r="F109" s="58"/>
      <c r="G109" s="58"/>
    </row>
    <row r="110">
      <c r="B110" s="58"/>
      <c r="C110" s="58"/>
      <c r="D110" s="58"/>
      <c r="E110" s="58"/>
      <c r="F110" s="58"/>
      <c r="G110" s="58"/>
    </row>
    <row r="111">
      <c r="B111" s="58"/>
      <c r="C111" s="58"/>
      <c r="D111" s="58"/>
      <c r="E111" s="58"/>
      <c r="F111" s="58"/>
      <c r="G111" s="58"/>
    </row>
    <row r="112">
      <c r="B112" s="58"/>
      <c r="C112" s="58"/>
      <c r="D112" s="58"/>
      <c r="E112" s="58"/>
      <c r="F112" s="58"/>
      <c r="G112" s="58"/>
    </row>
    <row r="113">
      <c r="B113" s="58"/>
      <c r="C113" s="58"/>
      <c r="D113" s="58"/>
      <c r="E113" s="58"/>
      <c r="F113" s="58"/>
      <c r="G113" s="58"/>
    </row>
    <row r="114">
      <c r="B114" s="58"/>
      <c r="C114" s="58"/>
      <c r="D114" s="58"/>
      <c r="E114" s="58"/>
      <c r="F114" s="58"/>
      <c r="G114" s="58"/>
    </row>
    <row r="115">
      <c r="B115" s="58"/>
      <c r="C115" s="58"/>
      <c r="D115" s="58"/>
      <c r="E115" s="58"/>
      <c r="F115" s="58"/>
      <c r="G115" s="58"/>
    </row>
    <row r="116">
      <c r="B116" s="58"/>
      <c r="C116" s="58"/>
      <c r="D116" s="58"/>
      <c r="E116" s="58"/>
      <c r="F116" s="58"/>
      <c r="G116" s="58"/>
    </row>
    <row r="117">
      <c r="B117" s="58"/>
      <c r="C117" s="58"/>
      <c r="D117" s="58"/>
      <c r="E117" s="58"/>
      <c r="F117" s="58"/>
      <c r="G117" s="58"/>
    </row>
    <row r="118">
      <c r="B118" s="58"/>
      <c r="C118" s="58"/>
      <c r="D118" s="58"/>
      <c r="E118" s="58"/>
      <c r="F118" s="58"/>
      <c r="G118" s="58"/>
    </row>
    <row r="119">
      <c r="B119" s="58"/>
      <c r="C119" s="58"/>
      <c r="D119" s="58"/>
      <c r="E119" s="58"/>
      <c r="F119" s="58"/>
      <c r="G119" s="58"/>
    </row>
    <row r="120">
      <c r="B120" s="58"/>
      <c r="C120" s="58"/>
      <c r="D120" s="58"/>
      <c r="E120" s="58"/>
      <c r="F120" s="58"/>
      <c r="G120" s="58"/>
    </row>
    <row r="121">
      <c r="B121" s="58"/>
      <c r="C121" s="58"/>
      <c r="D121" s="58"/>
      <c r="E121" s="58"/>
      <c r="F121" s="58"/>
      <c r="G121" s="58"/>
    </row>
    <row r="122">
      <c r="B122" s="58"/>
      <c r="C122" s="58"/>
      <c r="D122" s="58"/>
      <c r="E122" s="58"/>
      <c r="F122" s="58"/>
      <c r="G122" s="58"/>
    </row>
    <row r="123">
      <c r="B123" s="58"/>
      <c r="C123" s="58"/>
      <c r="D123" s="58"/>
      <c r="E123" s="58"/>
      <c r="F123" s="58"/>
      <c r="G123" s="58"/>
    </row>
    <row r="124">
      <c r="B124" s="58"/>
      <c r="C124" s="58"/>
      <c r="D124" s="58"/>
      <c r="E124" s="58"/>
      <c r="F124" s="58"/>
      <c r="G124" s="58"/>
    </row>
    <row r="125">
      <c r="B125" s="58"/>
      <c r="C125" s="58"/>
      <c r="D125" s="58"/>
      <c r="E125" s="58"/>
      <c r="F125" s="58"/>
      <c r="G125" s="58"/>
    </row>
    <row r="126">
      <c r="B126" s="58"/>
      <c r="C126" s="58"/>
      <c r="D126" s="58"/>
      <c r="E126" s="58"/>
      <c r="F126" s="58"/>
      <c r="G126" s="58"/>
    </row>
    <row r="127">
      <c r="B127" s="58"/>
      <c r="C127" s="58"/>
      <c r="D127" s="58"/>
      <c r="E127" s="58"/>
      <c r="F127" s="58"/>
      <c r="G127" s="58"/>
    </row>
    <row r="128">
      <c r="B128" s="58"/>
      <c r="C128" s="58"/>
      <c r="D128" s="58"/>
      <c r="E128" s="58"/>
      <c r="F128" s="58"/>
      <c r="G128" s="58"/>
    </row>
    <row r="129">
      <c r="B129" s="58"/>
      <c r="C129" s="58"/>
      <c r="D129" s="58"/>
      <c r="E129" s="58"/>
      <c r="F129" s="58"/>
      <c r="G129" s="58"/>
    </row>
    <row r="130">
      <c r="B130" s="58"/>
      <c r="C130" s="58"/>
      <c r="D130" s="58"/>
      <c r="E130" s="58"/>
      <c r="F130" s="58"/>
      <c r="G130" s="58"/>
    </row>
    <row r="131">
      <c r="B131" s="58"/>
      <c r="C131" s="58"/>
      <c r="D131" s="58"/>
      <c r="E131" s="58"/>
      <c r="F131" s="58"/>
      <c r="G131" s="58"/>
    </row>
    <row r="132">
      <c r="B132" s="58"/>
      <c r="C132" s="58"/>
      <c r="D132" s="58"/>
      <c r="E132" s="58"/>
      <c r="F132" s="58"/>
      <c r="G132" s="58"/>
    </row>
    <row r="133">
      <c r="B133" s="58"/>
      <c r="C133" s="58"/>
      <c r="D133" s="58"/>
      <c r="E133" s="58"/>
      <c r="F133" s="58"/>
      <c r="G133" s="58"/>
    </row>
    <row r="134">
      <c r="B134" s="58"/>
      <c r="C134" s="58"/>
      <c r="D134" s="58"/>
      <c r="E134" s="58"/>
      <c r="F134" s="58"/>
      <c r="G134" s="58"/>
    </row>
    <row r="135">
      <c r="B135" s="58"/>
      <c r="C135" s="58"/>
      <c r="D135" s="58"/>
      <c r="E135" s="58"/>
      <c r="F135" s="58"/>
      <c r="G135" s="58"/>
    </row>
    <row r="136">
      <c r="B136" s="58"/>
      <c r="C136" s="58"/>
      <c r="D136" s="58"/>
      <c r="E136" s="58"/>
      <c r="F136" s="58"/>
      <c r="G136" s="58"/>
    </row>
    <row r="137">
      <c r="B137" s="58"/>
      <c r="C137" s="58"/>
      <c r="D137" s="58"/>
      <c r="E137" s="58"/>
      <c r="F137" s="58"/>
      <c r="G137" s="58"/>
    </row>
    <row r="138">
      <c r="B138" s="58"/>
      <c r="C138" s="58"/>
      <c r="D138" s="58"/>
      <c r="E138" s="58"/>
      <c r="F138" s="58"/>
      <c r="G138" s="58"/>
    </row>
    <row r="139">
      <c r="B139" s="58"/>
      <c r="C139" s="58"/>
      <c r="D139" s="58"/>
      <c r="E139" s="58"/>
      <c r="F139" s="58"/>
      <c r="G139" s="58"/>
    </row>
    <row r="140">
      <c r="B140" s="58"/>
      <c r="C140" s="58"/>
      <c r="D140" s="58"/>
      <c r="E140" s="58"/>
      <c r="F140" s="58"/>
      <c r="G140" s="58"/>
    </row>
    <row r="141">
      <c r="B141" s="58"/>
      <c r="C141" s="58"/>
      <c r="D141" s="58"/>
      <c r="E141" s="58"/>
      <c r="F141" s="58"/>
      <c r="G141" s="58"/>
    </row>
    <row r="142">
      <c r="B142" s="58"/>
      <c r="C142" s="58"/>
      <c r="D142" s="58"/>
      <c r="E142" s="58"/>
      <c r="F142" s="58"/>
      <c r="G142" s="58"/>
    </row>
    <row r="143">
      <c r="B143" s="58"/>
      <c r="C143" s="58"/>
      <c r="D143" s="58"/>
      <c r="E143" s="58"/>
      <c r="F143" s="58"/>
      <c r="G143" s="58"/>
    </row>
    <row r="144">
      <c r="B144" s="58"/>
      <c r="C144" s="58"/>
      <c r="D144" s="58"/>
      <c r="E144" s="58"/>
      <c r="F144" s="58"/>
      <c r="G144" s="58"/>
    </row>
    <row r="145">
      <c r="B145" s="58"/>
      <c r="C145" s="58"/>
      <c r="D145" s="58"/>
      <c r="E145" s="58"/>
      <c r="F145" s="58"/>
      <c r="G145" s="58"/>
    </row>
    <row r="146">
      <c r="B146" s="58"/>
      <c r="C146" s="58"/>
      <c r="D146" s="58"/>
      <c r="E146" s="58"/>
      <c r="F146" s="58"/>
      <c r="G146" s="58"/>
    </row>
    <row r="147">
      <c r="B147" s="58"/>
      <c r="C147" s="58"/>
      <c r="D147" s="58"/>
      <c r="E147" s="58"/>
      <c r="F147" s="58"/>
      <c r="G147" s="58"/>
    </row>
    <row r="148">
      <c r="B148" s="58"/>
      <c r="C148" s="58"/>
      <c r="D148" s="58"/>
      <c r="E148" s="58"/>
      <c r="F148" s="58"/>
      <c r="G148" s="58"/>
    </row>
    <row r="149">
      <c r="B149" s="58"/>
      <c r="C149" s="58"/>
      <c r="D149" s="58"/>
      <c r="E149" s="58"/>
      <c r="F149" s="58"/>
      <c r="G149" s="58"/>
    </row>
    <row r="150">
      <c r="B150" s="58"/>
      <c r="C150" s="58"/>
      <c r="D150" s="58"/>
      <c r="E150" s="58"/>
      <c r="F150" s="58"/>
      <c r="G150" s="58"/>
    </row>
    <row r="151">
      <c r="B151" s="58"/>
      <c r="C151" s="58"/>
      <c r="D151" s="58"/>
      <c r="E151" s="58"/>
      <c r="F151" s="58"/>
      <c r="G151" s="58"/>
    </row>
    <row r="152">
      <c r="B152" s="58"/>
      <c r="C152" s="58"/>
      <c r="D152" s="58"/>
      <c r="E152" s="58"/>
      <c r="F152" s="58"/>
      <c r="G152" s="58"/>
    </row>
    <row r="153">
      <c r="B153" s="58"/>
      <c r="C153" s="58"/>
      <c r="D153" s="58"/>
      <c r="E153" s="58"/>
      <c r="F153" s="58"/>
      <c r="G153" s="58"/>
    </row>
    <row r="154">
      <c r="B154" s="58"/>
      <c r="C154" s="58"/>
      <c r="D154" s="58"/>
      <c r="E154" s="58"/>
      <c r="F154" s="58"/>
      <c r="G154" s="58"/>
    </row>
    <row r="155">
      <c r="B155" s="58"/>
      <c r="C155" s="58"/>
      <c r="D155" s="58"/>
      <c r="E155" s="58"/>
      <c r="F155" s="58"/>
      <c r="G155" s="58"/>
    </row>
    <row r="156">
      <c r="B156" s="58"/>
      <c r="C156" s="58"/>
      <c r="D156" s="58"/>
      <c r="E156" s="58"/>
      <c r="F156" s="58"/>
      <c r="G156" s="58"/>
    </row>
    <row r="157">
      <c r="B157" s="58"/>
      <c r="C157" s="58"/>
      <c r="D157" s="58"/>
      <c r="E157" s="58"/>
      <c r="F157" s="58"/>
      <c r="G157" s="58"/>
    </row>
    <row r="158">
      <c r="B158" s="58"/>
      <c r="C158" s="58"/>
      <c r="D158" s="58"/>
      <c r="E158" s="58"/>
      <c r="F158" s="58"/>
      <c r="G158" s="58"/>
    </row>
    <row r="159">
      <c r="B159" s="58"/>
      <c r="C159" s="58"/>
      <c r="D159" s="58"/>
      <c r="E159" s="58"/>
      <c r="F159" s="58"/>
      <c r="G159" s="58"/>
    </row>
    <row r="160">
      <c r="B160" s="58"/>
      <c r="C160" s="58"/>
      <c r="D160" s="58"/>
      <c r="E160" s="58"/>
      <c r="F160" s="58"/>
      <c r="G160" s="58"/>
    </row>
    <row r="161">
      <c r="B161" s="58"/>
      <c r="C161" s="58"/>
      <c r="D161" s="58"/>
      <c r="E161" s="58"/>
      <c r="F161" s="58"/>
      <c r="G161" s="58"/>
    </row>
    <row r="162">
      <c r="B162" s="58"/>
      <c r="C162" s="58"/>
      <c r="D162" s="58"/>
      <c r="E162" s="58"/>
      <c r="F162" s="58"/>
      <c r="G162" s="58"/>
    </row>
    <row r="163">
      <c r="B163" s="58"/>
      <c r="C163" s="58"/>
      <c r="D163" s="58"/>
      <c r="E163" s="58"/>
      <c r="F163" s="58"/>
      <c r="G163" s="58"/>
    </row>
    <row r="164">
      <c r="B164" s="58"/>
      <c r="C164" s="58"/>
      <c r="D164" s="58"/>
      <c r="E164" s="58"/>
      <c r="F164" s="58"/>
      <c r="G164" s="58"/>
    </row>
    <row r="165">
      <c r="B165" s="58"/>
      <c r="C165" s="58"/>
      <c r="D165" s="58"/>
      <c r="E165" s="58"/>
      <c r="F165" s="58"/>
      <c r="G165" s="58"/>
    </row>
    <row r="166">
      <c r="B166" s="58"/>
      <c r="C166" s="58"/>
      <c r="D166" s="58"/>
      <c r="E166" s="58"/>
      <c r="F166" s="58"/>
      <c r="G166" s="58"/>
    </row>
    <row r="167">
      <c r="B167" s="58"/>
      <c r="C167" s="58"/>
      <c r="D167" s="58"/>
      <c r="E167" s="58"/>
      <c r="F167" s="58"/>
      <c r="G167" s="58"/>
    </row>
    <row r="168">
      <c r="B168" s="58"/>
      <c r="C168" s="58"/>
      <c r="D168" s="58"/>
      <c r="E168" s="58"/>
      <c r="F168" s="58"/>
      <c r="G168" s="58"/>
    </row>
    <row r="169">
      <c r="B169" s="58"/>
      <c r="C169" s="58"/>
      <c r="D169" s="58"/>
      <c r="E169" s="58"/>
      <c r="F169" s="58"/>
      <c r="G169" s="58"/>
    </row>
    <row r="170">
      <c r="B170" s="58"/>
      <c r="C170" s="58"/>
      <c r="D170" s="58"/>
      <c r="E170" s="58"/>
      <c r="F170" s="58"/>
      <c r="G170" s="58"/>
    </row>
    <row r="171">
      <c r="B171" s="58"/>
      <c r="C171" s="58"/>
      <c r="D171" s="58"/>
      <c r="E171" s="58"/>
      <c r="F171" s="58"/>
      <c r="G171" s="58"/>
    </row>
    <row r="172">
      <c r="B172" s="58"/>
      <c r="C172" s="58"/>
      <c r="D172" s="58"/>
      <c r="E172" s="58"/>
      <c r="F172" s="58"/>
      <c r="G172" s="58"/>
    </row>
    <row r="173">
      <c r="B173" s="58"/>
      <c r="C173" s="58"/>
      <c r="D173" s="58"/>
      <c r="E173" s="58"/>
      <c r="F173" s="58"/>
      <c r="G173" s="58"/>
    </row>
    <row r="174">
      <c r="B174" s="58"/>
      <c r="C174" s="58"/>
      <c r="D174" s="58"/>
      <c r="E174" s="58"/>
      <c r="F174" s="58"/>
      <c r="G174" s="58"/>
    </row>
    <row r="175">
      <c r="B175" s="58"/>
      <c r="C175" s="58"/>
      <c r="D175" s="58"/>
      <c r="E175" s="58"/>
      <c r="F175" s="58"/>
      <c r="G175" s="58"/>
    </row>
    <row r="176">
      <c r="B176" s="58"/>
      <c r="C176" s="58"/>
      <c r="D176" s="58"/>
      <c r="E176" s="58"/>
      <c r="F176" s="58"/>
      <c r="G176" s="58"/>
    </row>
    <row r="177">
      <c r="B177" s="58"/>
      <c r="C177" s="58"/>
      <c r="D177" s="58"/>
      <c r="E177" s="58"/>
      <c r="F177" s="58"/>
      <c r="G177" s="58"/>
    </row>
    <row r="178">
      <c r="B178" s="58"/>
      <c r="C178" s="58"/>
      <c r="D178" s="58"/>
      <c r="E178" s="58"/>
      <c r="F178" s="58"/>
      <c r="G178" s="58"/>
    </row>
    <row r="179">
      <c r="B179" s="58"/>
      <c r="C179" s="58"/>
      <c r="D179" s="58"/>
      <c r="E179" s="58"/>
      <c r="F179" s="58"/>
      <c r="G179" s="58"/>
    </row>
    <row r="180">
      <c r="B180" s="58"/>
      <c r="C180" s="58"/>
      <c r="D180" s="58"/>
      <c r="E180" s="58"/>
      <c r="F180" s="58"/>
      <c r="G180" s="58"/>
    </row>
    <row r="181">
      <c r="B181" s="58"/>
      <c r="C181" s="58"/>
      <c r="D181" s="58"/>
      <c r="E181" s="58"/>
      <c r="F181" s="58"/>
      <c r="G181" s="58"/>
    </row>
    <row r="182">
      <c r="B182" s="58"/>
      <c r="C182" s="58"/>
      <c r="D182" s="58"/>
      <c r="E182" s="58"/>
      <c r="F182" s="58"/>
      <c r="G182" s="58"/>
    </row>
    <row r="183">
      <c r="B183" s="58"/>
      <c r="C183" s="58"/>
      <c r="D183" s="58"/>
      <c r="E183" s="58"/>
      <c r="F183" s="58"/>
      <c r="G183" s="58"/>
    </row>
    <row r="184">
      <c r="B184" s="58"/>
      <c r="C184" s="58"/>
      <c r="D184" s="58"/>
      <c r="E184" s="58"/>
      <c r="F184" s="58"/>
      <c r="G184" s="58"/>
    </row>
    <row r="185">
      <c r="B185" s="58"/>
      <c r="C185" s="58"/>
      <c r="D185" s="58"/>
      <c r="E185" s="58"/>
      <c r="F185" s="58"/>
      <c r="G185" s="58"/>
    </row>
    <row r="186">
      <c r="B186" s="58"/>
      <c r="C186" s="58"/>
      <c r="D186" s="58"/>
      <c r="E186" s="58"/>
      <c r="F186" s="58"/>
      <c r="G186" s="58"/>
    </row>
    <row r="187">
      <c r="B187" s="58"/>
      <c r="C187" s="58"/>
      <c r="D187" s="58"/>
      <c r="E187" s="58"/>
      <c r="F187" s="58"/>
      <c r="G187" s="58"/>
    </row>
    <row r="188">
      <c r="B188" s="58"/>
      <c r="C188" s="58"/>
      <c r="D188" s="58"/>
      <c r="E188" s="58"/>
      <c r="F188" s="58"/>
      <c r="G188" s="58"/>
    </row>
    <row r="189">
      <c r="B189" s="58"/>
      <c r="C189" s="58"/>
      <c r="D189" s="58"/>
      <c r="E189" s="58"/>
      <c r="F189" s="58"/>
      <c r="G189" s="58"/>
    </row>
    <row r="190">
      <c r="B190" s="58"/>
      <c r="C190" s="58"/>
      <c r="D190" s="58"/>
      <c r="E190" s="58"/>
      <c r="F190" s="58"/>
      <c r="G190" s="58"/>
    </row>
    <row r="191">
      <c r="B191" s="58"/>
      <c r="C191" s="58"/>
      <c r="D191" s="58"/>
      <c r="E191" s="58"/>
      <c r="F191" s="58"/>
      <c r="G191" s="58"/>
    </row>
    <row r="192">
      <c r="B192" s="58"/>
      <c r="C192" s="58"/>
      <c r="D192" s="58"/>
      <c r="E192" s="58"/>
      <c r="F192" s="58"/>
      <c r="G192" s="58"/>
    </row>
    <row r="193">
      <c r="B193" s="58"/>
      <c r="C193" s="58"/>
      <c r="D193" s="58"/>
      <c r="E193" s="58"/>
      <c r="F193" s="58"/>
      <c r="G193" s="58"/>
    </row>
    <row r="194">
      <c r="B194" s="58"/>
      <c r="C194" s="58"/>
      <c r="D194" s="58"/>
      <c r="E194" s="58"/>
      <c r="F194" s="58"/>
      <c r="G194" s="58"/>
    </row>
    <row r="195">
      <c r="B195" s="58"/>
      <c r="C195" s="58"/>
      <c r="D195" s="58"/>
      <c r="E195" s="58"/>
      <c r="F195" s="58"/>
      <c r="G195" s="58"/>
    </row>
    <row r="196">
      <c r="B196" s="58"/>
      <c r="C196" s="58"/>
      <c r="D196" s="58"/>
      <c r="E196" s="58"/>
      <c r="F196" s="58"/>
      <c r="G196" s="58"/>
    </row>
    <row r="197">
      <c r="B197" s="58"/>
      <c r="C197" s="58"/>
      <c r="D197" s="58"/>
      <c r="E197" s="58"/>
      <c r="F197" s="58"/>
      <c r="G197" s="58"/>
    </row>
    <row r="198">
      <c r="B198" s="58"/>
      <c r="C198" s="58"/>
      <c r="D198" s="58"/>
      <c r="E198" s="58"/>
      <c r="F198" s="58"/>
      <c r="G198" s="58"/>
    </row>
    <row r="199">
      <c r="B199" s="58"/>
      <c r="C199" s="58"/>
      <c r="D199" s="58"/>
      <c r="E199" s="58"/>
      <c r="F199" s="58"/>
      <c r="G199" s="58"/>
    </row>
    <row r="200">
      <c r="B200" s="58"/>
      <c r="C200" s="58"/>
      <c r="D200" s="58"/>
      <c r="E200" s="58"/>
      <c r="F200" s="58"/>
      <c r="G200" s="58"/>
    </row>
    <row r="201">
      <c r="B201" s="58"/>
      <c r="C201" s="58"/>
      <c r="D201" s="58"/>
      <c r="E201" s="58"/>
      <c r="F201" s="58"/>
      <c r="G201" s="58"/>
    </row>
    <row r="202">
      <c r="B202" s="58"/>
      <c r="C202" s="58"/>
      <c r="D202" s="58"/>
      <c r="E202" s="58"/>
      <c r="F202" s="58"/>
      <c r="G202" s="58"/>
    </row>
    <row r="203">
      <c r="B203" s="58"/>
      <c r="C203" s="58"/>
      <c r="D203" s="58"/>
      <c r="E203" s="58"/>
      <c r="F203" s="58"/>
      <c r="G203" s="58"/>
    </row>
    <row r="204">
      <c r="B204" s="58"/>
      <c r="C204" s="58"/>
      <c r="D204" s="58"/>
      <c r="E204" s="58"/>
      <c r="F204" s="58"/>
      <c r="G204" s="58"/>
    </row>
    <row r="205">
      <c r="B205" s="58"/>
      <c r="C205" s="58"/>
      <c r="D205" s="58"/>
      <c r="E205" s="58"/>
      <c r="F205" s="58"/>
      <c r="G205" s="58"/>
    </row>
    <row r="206">
      <c r="B206" s="58"/>
      <c r="C206" s="58"/>
      <c r="D206" s="58"/>
      <c r="E206" s="58"/>
      <c r="F206" s="58"/>
      <c r="G206" s="58"/>
    </row>
    <row r="207">
      <c r="B207" s="58"/>
      <c r="C207" s="58"/>
      <c r="D207" s="58"/>
      <c r="E207" s="58"/>
      <c r="F207" s="58"/>
      <c r="G207" s="58"/>
    </row>
    <row r="208">
      <c r="B208" s="58"/>
      <c r="C208" s="58"/>
      <c r="D208" s="58"/>
      <c r="E208" s="58"/>
      <c r="F208" s="58"/>
      <c r="G208" s="58"/>
    </row>
    <row r="209">
      <c r="B209" s="58"/>
      <c r="C209" s="58"/>
      <c r="D209" s="58"/>
      <c r="E209" s="58"/>
      <c r="F209" s="58"/>
      <c r="G209" s="58"/>
    </row>
    <row r="210">
      <c r="B210" s="58"/>
      <c r="C210" s="58"/>
      <c r="D210" s="58"/>
      <c r="E210" s="58"/>
      <c r="F210" s="58"/>
      <c r="G210" s="58"/>
    </row>
    <row r="211">
      <c r="B211" s="58"/>
      <c r="C211" s="58"/>
      <c r="D211" s="58"/>
      <c r="E211" s="58"/>
      <c r="F211" s="58"/>
      <c r="G211" s="58"/>
    </row>
    <row r="212">
      <c r="B212" s="58"/>
      <c r="C212" s="58"/>
      <c r="D212" s="58"/>
      <c r="E212" s="58"/>
      <c r="F212" s="58"/>
      <c r="G212" s="58"/>
    </row>
    <row r="213">
      <c r="B213" s="58"/>
      <c r="C213" s="58"/>
      <c r="D213" s="58"/>
      <c r="E213" s="58"/>
      <c r="F213" s="58"/>
      <c r="G213" s="58"/>
    </row>
    <row r="214">
      <c r="B214" s="58"/>
      <c r="C214" s="58"/>
      <c r="D214" s="58"/>
      <c r="E214" s="58"/>
      <c r="F214" s="58"/>
      <c r="G214" s="58"/>
    </row>
    <row r="215">
      <c r="B215" s="58"/>
      <c r="C215" s="58"/>
      <c r="D215" s="58"/>
      <c r="E215" s="58"/>
      <c r="F215" s="58"/>
      <c r="G215" s="58"/>
    </row>
    <row r="216">
      <c r="B216" s="58"/>
      <c r="C216" s="58"/>
      <c r="D216" s="58"/>
      <c r="E216" s="58"/>
      <c r="F216" s="58"/>
      <c r="G216" s="58"/>
    </row>
    <row r="217">
      <c r="B217" s="58"/>
      <c r="C217" s="58"/>
      <c r="D217" s="58"/>
      <c r="E217" s="58"/>
      <c r="F217" s="58"/>
      <c r="G217" s="58"/>
    </row>
    <row r="218">
      <c r="B218" s="58"/>
      <c r="C218" s="58"/>
      <c r="D218" s="58"/>
      <c r="E218" s="58"/>
      <c r="F218" s="58"/>
      <c r="G218" s="58"/>
    </row>
    <row r="219">
      <c r="B219" s="58"/>
      <c r="C219" s="58"/>
      <c r="D219" s="58"/>
      <c r="E219" s="58"/>
      <c r="F219" s="58"/>
      <c r="G219" s="58"/>
    </row>
    <row r="220">
      <c r="B220" s="58"/>
      <c r="C220" s="58"/>
      <c r="D220" s="58"/>
      <c r="E220" s="58"/>
      <c r="F220" s="58"/>
      <c r="G220" s="58"/>
    </row>
    <row r="221">
      <c r="B221" s="58"/>
      <c r="C221" s="58"/>
      <c r="D221" s="58"/>
      <c r="E221" s="58"/>
      <c r="F221" s="58"/>
      <c r="G221" s="58"/>
    </row>
    <row r="222">
      <c r="B222" s="58"/>
      <c r="C222" s="58"/>
      <c r="D222" s="58"/>
      <c r="E222" s="58"/>
      <c r="F222" s="58"/>
      <c r="G222" s="58"/>
    </row>
    <row r="223">
      <c r="B223" s="58"/>
      <c r="C223" s="58"/>
      <c r="D223" s="58"/>
      <c r="E223" s="58"/>
      <c r="F223" s="58"/>
      <c r="G223" s="58"/>
    </row>
    <row r="224">
      <c r="B224" s="58"/>
      <c r="C224" s="58"/>
      <c r="D224" s="58"/>
      <c r="E224" s="58"/>
      <c r="F224" s="58"/>
      <c r="G224" s="58"/>
    </row>
    <row r="225">
      <c r="B225" s="58"/>
      <c r="C225" s="58"/>
      <c r="D225" s="58"/>
      <c r="E225" s="58"/>
      <c r="F225" s="58"/>
      <c r="G225" s="58"/>
    </row>
    <row r="226">
      <c r="B226" s="58"/>
      <c r="C226" s="58"/>
      <c r="D226" s="58"/>
      <c r="E226" s="58"/>
      <c r="F226" s="58"/>
      <c r="G226" s="58"/>
    </row>
    <row r="227">
      <c r="B227" s="58"/>
      <c r="C227" s="58"/>
      <c r="D227" s="58"/>
      <c r="E227" s="58"/>
      <c r="F227" s="58"/>
      <c r="G227" s="58"/>
    </row>
    <row r="228">
      <c r="B228" s="58"/>
      <c r="C228" s="58"/>
      <c r="D228" s="58"/>
      <c r="E228" s="58"/>
      <c r="F228" s="58"/>
      <c r="G228" s="58"/>
    </row>
    <row r="229">
      <c r="B229" s="58"/>
      <c r="C229" s="58"/>
      <c r="D229" s="58"/>
      <c r="E229" s="58"/>
      <c r="F229" s="58"/>
      <c r="G229" s="58"/>
    </row>
    <row r="230">
      <c r="B230" s="58"/>
      <c r="C230" s="58"/>
      <c r="D230" s="58"/>
      <c r="E230" s="58"/>
      <c r="F230" s="58"/>
      <c r="G230" s="58"/>
    </row>
    <row r="231">
      <c r="B231" s="58"/>
      <c r="C231" s="58"/>
      <c r="D231" s="58"/>
      <c r="E231" s="58"/>
      <c r="F231" s="58"/>
      <c r="G231" s="58"/>
    </row>
    <row r="232">
      <c r="B232" s="58"/>
      <c r="C232" s="58"/>
      <c r="D232" s="58"/>
      <c r="E232" s="58"/>
      <c r="F232" s="58"/>
      <c r="G232" s="58"/>
    </row>
    <row r="233">
      <c r="B233" s="58"/>
      <c r="C233" s="58"/>
      <c r="D233" s="58"/>
      <c r="E233" s="58"/>
      <c r="F233" s="58"/>
      <c r="G233" s="58"/>
    </row>
    <row r="234">
      <c r="B234" s="58"/>
      <c r="C234" s="58"/>
      <c r="D234" s="58"/>
      <c r="E234" s="58"/>
      <c r="F234" s="58"/>
      <c r="G234" s="58"/>
    </row>
    <row r="235">
      <c r="B235" s="58"/>
      <c r="C235" s="58"/>
      <c r="D235" s="58"/>
      <c r="E235" s="58"/>
      <c r="F235" s="58"/>
      <c r="G235" s="58"/>
    </row>
    <row r="236">
      <c r="B236" s="58"/>
      <c r="C236" s="58"/>
      <c r="D236" s="58"/>
      <c r="E236" s="58"/>
      <c r="F236" s="58"/>
      <c r="G236" s="58"/>
    </row>
    <row r="237">
      <c r="B237" s="58"/>
      <c r="C237" s="58"/>
      <c r="D237" s="58"/>
      <c r="E237" s="58"/>
      <c r="F237" s="58"/>
      <c r="G237" s="58"/>
    </row>
    <row r="238">
      <c r="B238" s="58"/>
      <c r="C238" s="58"/>
      <c r="D238" s="58"/>
      <c r="E238" s="58"/>
      <c r="F238" s="58"/>
      <c r="G238" s="58"/>
    </row>
    <row r="239">
      <c r="B239" s="58"/>
      <c r="C239" s="58"/>
      <c r="D239" s="58"/>
      <c r="E239" s="58"/>
      <c r="F239" s="58"/>
      <c r="G239" s="58"/>
    </row>
    <row r="240">
      <c r="B240" s="58"/>
      <c r="C240" s="58"/>
      <c r="D240" s="58"/>
      <c r="E240" s="58"/>
      <c r="F240" s="58"/>
      <c r="G240" s="58"/>
    </row>
    <row r="241">
      <c r="B241" s="58"/>
      <c r="C241" s="58"/>
      <c r="D241" s="58"/>
      <c r="E241" s="58"/>
      <c r="F241" s="58"/>
      <c r="G241" s="58"/>
    </row>
    <row r="242">
      <c r="B242" s="58"/>
      <c r="C242" s="58"/>
      <c r="D242" s="58"/>
      <c r="E242" s="58"/>
      <c r="F242" s="58"/>
      <c r="G242" s="58"/>
    </row>
    <row r="243">
      <c r="B243" s="58"/>
      <c r="C243" s="58"/>
      <c r="D243" s="58"/>
      <c r="E243" s="58"/>
      <c r="F243" s="58"/>
      <c r="G243" s="58"/>
    </row>
    <row r="244">
      <c r="B244" s="58"/>
      <c r="C244" s="58"/>
      <c r="D244" s="58"/>
      <c r="E244" s="58"/>
      <c r="F244" s="58"/>
      <c r="G244" s="58"/>
    </row>
    <row r="245">
      <c r="B245" s="58"/>
      <c r="C245" s="58"/>
      <c r="D245" s="58"/>
      <c r="E245" s="58"/>
      <c r="F245" s="58"/>
      <c r="G245" s="58"/>
    </row>
    <row r="246">
      <c r="B246" s="58"/>
      <c r="C246" s="58"/>
      <c r="D246" s="58"/>
      <c r="E246" s="58"/>
      <c r="F246" s="58"/>
      <c r="G246" s="58"/>
    </row>
    <row r="247">
      <c r="B247" s="58"/>
      <c r="C247" s="58"/>
      <c r="D247" s="58"/>
      <c r="E247" s="58"/>
      <c r="F247" s="58"/>
      <c r="G247" s="58"/>
    </row>
    <row r="248">
      <c r="B248" s="58"/>
      <c r="C248" s="58"/>
      <c r="D248" s="58"/>
      <c r="E248" s="58"/>
      <c r="F248" s="58"/>
      <c r="G248" s="58"/>
    </row>
    <row r="249">
      <c r="B249" s="58"/>
      <c r="C249" s="58"/>
      <c r="D249" s="58"/>
      <c r="E249" s="58"/>
      <c r="F249" s="58"/>
      <c r="G249" s="58"/>
    </row>
    <row r="250">
      <c r="B250" s="58"/>
      <c r="C250" s="58"/>
      <c r="D250" s="58"/>
      <c r="E250" s="58"/>
      <c r="F250" s="58"/>
      <c r="G250" s="58"/>
    </row>
    <row r="251">
      <c r="B251" s="58"/>
      <c r="C251" s="58"/>
      <c r="D251" s="58"/>
      <c r="E251" s="58"/>
      <c r="F251" s="58"/>
      <c r="G251" s="58"/>
    </row>
    <row r="252">
      <c r="B252" s="58"/>
      <c r="C252" s="58"/>
      <c r="D252" s="58"/>
      <c r="E252" s="58"/>
      <c r="F252" s="58"/>
      <c r="G252" s="58"/>
    </row>
    <row r="253">
      <c r="B253" s="58"/>
      <c r="C253" s="58"/>
      <c r="D253" s="58"/>
      <c r="E253" s="58"/>
      <c r="F253" s="58"/>
      <c r="G253" s="58"/>
    </row>
    <row r="254">
      <c r="B254" s="58"/>
      <c r="C254" s="58"/>
      <c r="D254" s="58"/>
      <c r="E254" s="58"/>
      <c r="F254" s="58"/>
      <c r="G254" s="58"/>
    </row>
    <row r="255">
      <c r="B255" s="58"/>
      <c r="C255" s="58"/>
      <c r="D255" s="58"/>
      <c r="E255" s="58"/>
      <c r="F255" s="58"/>
      <c r="G255" s="58"/>
    </row>
    <row r="256">
      <c r="B256" s="58"/>
      <c r="C256" s="58"/>
      <c r="D256" s="58"/>
      <c r="E256" s="58"/>
      <c r="F256" s="58"/>
      <c r="G256" s="58"/>
    </row>
    <row r="257">
      <c r="B257" s="58"/>
      <c r="C257" s="58"/>
      <c r="D257" s="58"/>
      <c r="E257" s="58"/>
      <c r="F257" s="58"/>
      <c r="G257" s="58"/>
    </row>
    <row r="258">
      <c r="B258" s="58"/>
      <c r="C258" s="58"/>
      <c r="D258" s="58"/>
      <c r="E258" s="58"/>
      <c r="F258" s="58"/>
      <c r="G258" s="58"/>
    </row>
    <row r="259">
      <c r="B259" s="58"/>
      <c r="C259" s="58"/>
      <c r="D259" s="58"/>
      <c r="E259" s="58"/>
      <c r="F259" s="58"/>
      <c r="G259" s="58"/>
    </row>
    <row r="260">
      <c r="B260" s="58"/>
      <c r="C260" s="58"/>
      <c r="D260" s="58"/>
      <c r="E260" s="58"/>
      <c r="F260" s="58"/>
      <c r="G260" s="58"/>
    </row>
    <row r="261">
      <c r="B261" s="58"/>
      <c r="C261" s="58"/>
      <c r="D261" s="58"/>
      <c r="E261" s="58"/>
      <c r="F261" s="58"/>
      <c r="G261" s="58"/>
    </row>
    <row r="262">
      <c r="B262" s="58"/>
      <c r="C262" s="58"/>
      <c r="D262" s="58"/>
      <c r="E262" s="58"/>
      <c r="F262" s="58"/>
      <c r="G262" s="58"/>
    </row>
    <row r="263">
      <c r="B263" s="58"/>
      <c r="C263" s="58"/>
      <c r="D263" s="58"/>
      <c r="E263" s="58"/>
      <c r="F263" s="58"/>
      <c r="G263" s="58"/>
    </row>
    <row r="264">
      <c r="B264" s="58"/>
      <c r="C264" s="58"/>
      <c r="D264" s="58"/>
      <c r="E264" s="58"/>
      <c r="F264" s="58"/>
      <c r="G264" s="58"/>
    </row>
    <row r="265">
      <c r="B265" s="58"/>
      <c r="C265" s="58"/>
      <c r="D265" s="58"/>
      <c r="E265" s="58"/>
      <c r="F265" s="58"/>
      <c r="G265" s="58"/>
    </row>
    <row r="266">
      <c r="B266" s="58"/>
      <c r="C266" s="58"/>
      <c r="D266" s="58"/>
      <c r="E266" s="58"/>
      <c r="F266" s="58"/>
      <c r="G266" s="58"/>
    </row>
    <row r="267">
      <c r="B267" s="58"/>
      <c r="C267" s="58"/>
      <c r="D267" s="58"/>
      <c r="E267" s="58"/>
      <c r="F267" s="58"/>
      <c r="G267" s="58"/>
    </row>
    <row r="268">
      <c r="B268" s="58"/>
      <c r="C268" s="58"/>
      <c r="D268" s="58"/>
      <c r="E268" s="58"/>
      <c r="F268" s="58"/>
      <c r="G268" s="58"/>
    </row>
    <row r="269">
      <c r="B269" s="58"/>
      <c r="C269" s="58"/>
      <c r="D269" s="58"/>
      <c r="E269" s="58"/>
      <c r="F269" s="58"/>
      <c r="G269" s="58"/>
    </row>
    <row r="270">
      <c r="B270" s="58"/>
      <c r="C270" s="58"/>
      <c r="D270" s="58"/>
      <c r="E270" s="58"/>
      <c r="F270" s="58"/>
      <c r="G270" s="58"/>
    </row>
    <row r="271">
      <c r="B271" s="58"/>
      <c r="C271" s="58"/>
      <c r="D271" s="58"/>
      <c r="E271" s="58"/>
      <c r="F271" s="58"/>
      <c r="G271" s="58"/>
    </row>
    <row r="272">
      <c r="B272" s="58"/>
      <c r="C272" s="58"/>
      <c r="D272" s="58"/>
      <c r="E272" s="58"/>
      <c r="F272" s="58"/>
      <c r="G272" s="58"/>
    </row>
    <row r="273">
      <c r="B273" s="58"/>
      <c r="C273" s="58"/>
      <c r="D273" s="58"/>
      <c r="E273" s="58"/>
      <c r="F273" s="58"/>
      <c r="G273" s="58"/>
    </row>
    <row r="274">
      <c r="B274" s="58"/>
      <c r="C274" s="58"/>
      <c r="D274" s="58"/>
      <c r="E274" s="58"/>
      <c r="F274" s="58"/>
      <c r="G274" s="58"/>
    </row>
    <row r="275">
      <c r="B275" s="58"/>
      <c r="C275" s="58"/>
      <c r="D275" s="58"/>
      <c r="E275" s="58"/>
      <c r="F275" s="58"/>
      <c r="G275" s="58"/>
    </row>
    <row r="276">
      <c r="B276" s="58"/>
      <c r="C276" s="58"/>
      <c r="D276" s="58"/>
      <c r="E276" s="58"/>
      <c r="F276" s="58"/>
      <c r="G276" s="58"/>
    </row>
    <row r="277">
      <c r="B277" s="58"/>
      <c r="C277" s="58"/>
      <c r="D277" s="58"/>
      <c r="E277" s="58"/>
      <c r="F277" s="58"/>
      <c r="G277" s="58"/>
    </row>
    <row r="278">
      <c r="B278" s="58"/>
      <c r="C278" s="58"/>
      <c r="D278" s="58"/>
      <c r="E278" s="58"/>
      <c r="F278" s="58"/>
      <c r="G278" s="58"/>
    </row>
    <row r="279">
      <c r="B279" s="58"/>
      <c r="C279" s="58"/>
      <c r="D279" s="58"/>
      <c r="E279" s="58"/>
      <c r="F279" s="58"/>
      <c r="G279" s="58"/>
    </row>
    <row r="280">
      <c r="B280" s="58"/>
      <c r="C280" s="58"/>
      <c r="D280" s="58"/>
      <c r="E280" s="58"/>
      <c r="F280" s="58"/>
      <c r="G280" s="58"/>
    </row>
    <row r="281">
      <c r="B281" s="58"/>
      <c r="C281" s="58"/>
      <c r="D281" s="58"/>
      <c r="E281" s="58"/>
      <c r="F281" s="58"/>
      <c r="G281" s="58"/>
    </row>
    <row r="282">
      <c r="B282" s="58"/>
      <c r="C282" s="58"/>
      <c r="D282" s="58"/>
      <c r="E282" s="58"/>
      <c r="F282" s="58"/>
      <c r="G282" s="58"/>
    </row>
    <row r="283">
      <c r="B283" s="58"/>
      <c r="C283" s="58"/>
      <c r="D283" s="58"/>
      <c r="E283" s="58"/>
      <c r="F283" s="58"/>
      <c r="G283" s="58"/>
    </row>
    <row r="284">
      <c r="B284" s="58"/>
      <c r="C284" s="58"/>
      <c r="D284" s="58"/>
      <c r="E284" s="58"/>
      <c r="F284" s="58"/>
      <c r="G284" s="58"/>
    </row>
    <row r="285">
      <c r="B285" s="58"/>
      <c r="C285" s="58"/>
      <c r="D285" s="58"/>
      <c r="E285" s="58"/>
      <c r="F285" s="58"/>
      <c r="G285" s="58"/>
    </row>
    <row r="286">
      <c r="B286" s="58"/>
      <c r="C286" s="58"/>
      <c r="D286" s="58"/>
      <c r="E286" s="58"/>
      <c r="F286" s="58"/>
      <c r="G286" s="58"/>
    </row>
    <row r="287">
      <c r="B287" s="58"/>
      <c r="C287" s="58"/>
      <c r="D287" s="58"/>
      <c r="E287" s="58"/>
      <c r="F287" s="58"/>
      <c r="G287" s="58"/>
    </row>
    <row r="288">
      <c r="B288" s="58"/>
      <c r="C288" s="58"/>
      <c r="D288" s="58"/>
      <c r="E288" s="58"/>
      <c r="F288" s="58"/>
      <c r="G288" s="58"/>
    </row>
    <row r="289">
      <c r="B289" s="58"/>
      <c r="C289" s="58"/>
      <c r="D289" s="58"/>
      <c r="E289" s="58"/>
      <c r="F289" s="58"/>
      <c r="G289" s="58"/>
    </row>
    <row r="290">
      <c r="B290" s="58"/>
      <c r="C290" s="58"/>
      <c r="D290" s="58"/>
      <c r="E290" s="58"/>
      <c r="F290" s="58"/>
      <c r="G290" s="58"/>
    </row>
    <row r="291">
      <c r="B291" s="58"/>
      <c r="C291" s="58"/>
      <c r="D291" s="58"/>
      <c r="E291" s="58"/>
      <c r="F291" s="58"/>
      <c r="G291" s="58"/>
    </row>
    <row r="292">
      <c r="B292" s="58"/>
      <c r="C292" s="58"/>
      <c r="D292" s="58"/>
      <c r="E292" s="58"/>
      <c r="F292" s="58"/>
      <c r="G292" s="58"/>
    </row>
    <row r="293">
      <c r="B293" s="58"/>
      <c r="C293" s="58"/>
      <c r="D293" s="58"/>
      <c r="E293" s="58"/>
      <c r="F293" s="58"/>
      <c r="G293" s="58"/>
    </row>
    <row r="294">
      <c r="B294" s="58"/>
      <c r="C294" s="58"/>
      <c r="D294" s="58"/>
      <c r="E294" s="58"/>
      <c r="F294" s="58"/>
      <c r="G294" s="58"/>
    </row>
    <row r="295">
      <c r="B295" s="58"/>
      <c r="C295" s="58"/>
      <c r="D295" s="58"/>
      <c r="E295" s="58"/>
      <c r="F295" s="58"/>
      <c r="G295" s="58"/>
    </row>
    <row r="296">
      <c r="B296" s="58"/>
      <c r="C296" s="58"/>
      <c r="D296" s="58"/>
      <c r="E296" s="58"/>
      <c r="F296" s="58"/>
      <c r="G296" s="58"/>
    </row>
    <row r="297">
      <c r="B297" s="58"/>
      <c r="C297" s="58"/>
      <c r="D297" s="58"/>
      <c r="E297" s="58"/>
      <c r="F297" s="58"/>
      <c r="G297" s="58"/>
    </row>
    <row r="298">
      <c r="B298" s="58"/>
      <c r="C298" s="58"/>
      <c r="D298" s="58"/>
      <c r="E298" s="58"/>
      <c r="F298" s="58"/>
      <c r="G298" s="58"/>
    </row>
    <row r="299">
      <c r="B299" s="58"/>
      <c r="C299" s="58"/>
      <c r="D299" s="58"/>
      <c r="E299" s="58"/>
      <c r="F299" s="58"/>
      <c r="G299" s="58"/>
    </row>
    <row r="300">
      <c r="B300" s="58"/>
      <c r="C300" s="58"/>
      <c r="D300" s="58"/>
      <c r="E300" s="58"/>
      <c r="F300" s="58"/>
      <c r="G300" s="58"/>
    </row>
    <row r="301">
      <c r="B301" s="58"/>
      <c r="C301" s="58"/>
      <c r="D301" s="58"/>
      <c r="E301" s="58"/>
      <c r="F301" s="58"/>
      <c r="G301" s="58"/>
    </row>
    <row r="302">
      <c r="B302" s="58"/>
      <c r="C302" s="58"/>
      <c r="D302" s="58"/>
      <c r="E302" s="58"/>
      <c r="F302" s="58"/>
      <c r="G302" s="58"/>
    </row>
    <row r="303">
      <c r="B303" s="58"/>
      <c r="C303" s="58"/>
      <c r="D303" s="58"/>
      <c r="E303" s="58"/>
      <c r="F303" s="58"/>
      <c r="G303" s="58"/>
    </row>
    <row r="304">
      <c r="B304" s="58"/>
      <c r="C304" s="58"/>
      <c r="D304" s="58"/>
      <c r="E304" s="58"/>
      <c r="F304" s="58"/>
      <c r="G304" s="58"/>
    </row>
    <row r="305">
      <c r="B305" s="58"/>
      <c r="C305" s="58"/>
      <c r="D305" s="58"/>
      <c r="E305" s="58"/>
      <c r="F305" s="58"/>
      <c r="G305" s="58"/>
    </row>
    <row r="306">
      <c r="B306" s="58"/>
      <c r="C306" s="58"/>
      <c r="D306" s="58"/>
      <c r="E306" s="58"/>
      <c r="F306" s="58"/>
      <c r="G306" s="58"/>
    </row>
    <row r="307">
      <c r="B307" s="58"/>
      <c r="C307" s="58"/>
      <c r="D307" s="58"/>
      <c r="E307" s="58"/>
      <c r="F307" s="58"/>
      <c r="G307" s="58"/>
    </row>
    <row r="308">
      <c r="B308" s="58"/>
      <c r="C308" s="58"/>
      <c r="D308" s="58"/>
      <c r="E308" s="58"/>
      <c r="F308" s="58"/>
      <c r="G308" s="58"/>
    </row>
    <row r="309">
      <c r="B309" s="58"/>
      <c r="C309" s="58"/>
      <c r="D309" s="58"/>
      <c r="E309" s="58"/>
      <c r="F309" s="58"/>
      <c r="G309" s="58"/>
    </row>
    <row r="310">
      <c r="B310" s="58"/>
      <c r="C310" s="58"/>
      <c r="D310" s="58"/>
      <c r="E310" s="58"/>
      <c r="F310" s="58"/>
      <c r="G310" s="58"/>
    </row>
    <row r="311">
      <c r="B311" s="58"/>
      <c r="C311" s="58"/>
      <c r="D311" s="58"/>
      <c r="E311" s="58"/>
      <c r="F311" s="58"/>
      <c r="G311" s="58"/>
    </row>
    <row r="312">
      <c r="B312" s="58"/>
      <c r="C312" s="58"/>
      <c r="D312" s="58"/>
      <c r="E312" s="58"/>
      <c r="F312" s="58"/>
      <c r="G312" s="58"/>
    </row>
    <row r="313">
      <c r="B313" s="58"/>
      <c r="C313" s="58"/>
      <c r="D313" s="58"/>
      <c r="E313" s="58"/>
      <c r="F313" s="58"/>
      <c r="G313" s="58"/>
    </row>
    <row r="314">
      <c r="B314" s="58"/>
      <c r="C314" s="58"/>
      <c r="D314" s="58"/>
      <c r="E314" s="58"/>
      <c r="F314" s="58"/>
      <c r="G314" s="58"/>
    </row>
    <row r="315">
      <c r="B315" s="58"/>
      <c r="C315" s="58"/>
      <c r="D315" s="58"/>
      <c r="E315" s="58"/>
      <c r="F315" s="58"/>
      <c r="G315" s="58"/>
    </row>
    <row r="316">
      <c r="B316" s="58"/>
      <c r="C316" s="58"/>
      <c r="D316" s="58"/>
      <c r="E316" s="58"/>
      <c r="F316" s="58"/>
      <c r="G316" s="58"/>
    </row>
    <row r="317">
      <c r="B317" s="58"/>
      <c r="C317" s="58"/>
      <c r="D317" s="58"/>
      <c r="E317" s="58"/>
      <c r="F317" s="58"/>
      <c r="G317" s="58"/>
    </row>
    <row r="318">
      <c r="B318" s="58"/>
      <c r="C318" s="58"/>
      <c r="D318" s="58"/>
      <c r="E318" s="58"/>
      <c r="F318" s="58"/>
      <c r="G318" s="58"/>
    </row>
    <row r="319">
      <c r="B319" s="58"/>
      <c r="C319" s="58"/>
      <c r="D319" s="58"/>
      <c r="E319" s="58"/>
      <c r="F319" s="58"/>
      <c r="G319" s="58"/>
    </row>
    <row r="320">
      <c r="B320" s="58"/>
      <c r="C320" s="58"/>
      <c r="D320" s="58"/>
      <c r="E320" s="58"/>
      <c r="F320" s="58"/>
      <c r="G320" s="58"/>
    </row>
    <row r="321">
      <c r="B321" s="58"/>
      <c r="C321" s="58"/>
      <c r="D321" s="58"/>
      <c r="E321" s="58"/>
      <c r="F321" s="58"/>
      <c r="G321" s="58"/>
    </row>
    <row r="322">
      <c r="B322" s="58"/>
      <c r="C322" s="58"/>
      <c r="D322" s="58"/>
      <c r="E322" s="58"/>
      <c r="F322" s="58"/>
      <c r="G322" s="58"/>
    </row>
    <row r="323">
      <c r="B323" s="58"/>
      <c r="C323" s="58"/>
      <c r="D323" s="58"/>
      <c r="E323" s="58"/>
      <c r="F323" s="58"/>
      <c r="G323" s="58"/>
    </row>
    <row r="324">
      <c r="B324" s="58"/>
      <c r="C324" s="58"/>
      <c r="D324" s="58"/>
      <c r="E324" s="58"/>
      <c r="F324" s="58"/>
      <c r="G324" s="58"/>
    </row>
    <row r="325">
      <c r="B325" s="58"/>
      <c r="C325" s="58"/>
      <c r="D325" s="58"/>
      <c r="E325" s="58"/>
      <c r="F325" s="58"/>
      <c r="G325" s="58"/>
    </row>
    <row r="326">
      <c r="B326" s="58"/>
      <c r="C326" s="58"/>
      <c r="D326" s="58"/>
      <c r="E326" s="58"/>
      <c r="F326" s="58"/>
      <c r="G326" s="58"/>
    </row>
    <row r="327">
      <c r="B327" s="58"/>
      <c r="C327" s="58"/>
      <c r="D327" s="58"/>
      <c r="E327" s="58"/>
      <c r="F327" s="58"/>
      <c r="G327" s="58"/>
    </row>
    <row r="328">
      <c r="B328" s="58"/>
      <c r="C328" s="58"/>
      <c r="D328" s="58"/>
      <c r="E328" s="58"/>
      <c r="F328" s="58"/>
      <c r="G328" s="58"/>
    </row>
    <row r="329">
      <c r="B329" s="58"/>
      <c r="C329" s="58"/>
      <c r="D329" s="58"/>
      <c r="E329" s="58"/>
      <c r="F329" s="58"/>
      <c r="G329" s="58"/>
    </row>
    <row r="330">
      <c r="B330" s="58"/>
      <c r="C330" s="58"/>
      <c r="D330" s="58"/>
      <c r="E330" s="58"/>
      <c r="F330" s="58"/>
      <c r="G330" s="58"/>
    </row>
    <row r="331">
      <c r="B331" s="58"/>
      <c r="C331" s="58"/>
      <c r="D331" s="58"/>
      <c r="E331" s="58"/>
      <c r="F331" s="58"/>
      <c r="G331" s="58"/>
    </row>
    <row r="332">
      <c r="B332" s="58"/>
      <c r="C332" s="58"/>
      <c r="D332" s="58"/>
      <c r="E332" s="58"/>
      <c r="F332" s="58"/>
      <c r="G332" s="58"/>
    </row>
    <row r="333">
      <c r="B333" s="58"/>
      <c r="C333" s="58"/>
      <c r="D333" s="58"/>
      <c r="E333" s="58"/>
      <c r="F333" s="58"/>
      <c r="G333" s="58"/>
    </row>
    <row r="334">
      <c r="B334" s="58"/>
      <c r="C334" s="58"/>
      <c r="D334" s="58"/>
      <c r="E334" s="58"/>
      <c r="F334" s="58"/>
      <c r="G334" s="58"/>
    </row>
    <row r="335">
      <c r="B335" s="58"/>
      <c r="C335" s="58"/>
      <c r="D335" s="58"/>
      <c r="E335" s="58"/>
      <c r="F335" s="58"/>
      <c r="G335" s="58"/>
    </row>
    <row r="336">
      <c r="B336" s="58"/>
      <c r="C336" s="58"/>
      <c r="D336" s="58"/>
      <c r="E336" s="58"/>
      <c r="F336" s="58"/>
      <c r="G336" s="58"/>
    </row>
    <row r="337">
      <c r="B337" s="58"/>
      <c r="C337" s="58"/>
      <c r="D337" s="58"/>
      <c r="E337" s="58"/>
      <c r="F337" s="58"/>
      <c r="G337" s="58"/>
    </row>
    <row r="338">
      <c r="B338" s="58"/>
      <c r="C338" s="58"/>
      <c r="D338" s="58"/>
      <c r="E338" s="58"/>
      <c r="F338" s="58"/>
      <c r="G338" s="58"/>
    </row>
    <row r="339">
      <c r="B339" s="58"/>
      <c r="C339" s="58"/>
      <c r="D339" s="58"/>
      <c r="E339" s="58"/>
      <c r="F339" s="58"/>
      <c r="G339" s="58"/>
    </row>
    <row r="340">
      <c r="B340" s="58"/>
      <c r="C340" s="58"/>
      <c r="D340" s="58"/>
      <c r="E340" s="58"/>
      <c r="F340" s="58"/>
      <c r="G340" s="58"/>
    </row>
    <row r="341">
      <c r="B341" s="58"/>
      <c r="C341" s="58"/>
      <c r="D341" s="58"/>
      <c r="E341" s="58"/>
      <c r="F341" s="58"/>
      <c r="G341" s="58"/>
    </row>
    <row r="342">
      <c r="B342" s="58"/>
      <c r="C342" s="58"/>
      <c r="D342" s="58"/>
      <c r="E342" s="58"/>
      <c r="F342" s="58"/>
      <c r="G342" s="58"/>
    </row>
    <row r="343">
      <c r="B343" s="58"/>
      <c r="C343" s="58"/>
      <c r="D343" s="58"/>
      <c r="E343" s="58"/>
      <c r="F343" s="58"/>
      <c r="G343" s="58"/>
    </row>
    <row r="344">
      <c r="B344" s="58"/>
      <c r="C344" s="58"/>
      <c r="D344" s="58"/>
      <c r="E344" s="58"/>
      <c r="F344" s="58"/>
      <c r="G344" s="58"/>
    </row>
    <row r="345">
      <c r="B345" s="58"/>
      <c r="C345" s="58"/>
      <c r="D345" s="58"/>
      <c r="E345" s="58"/>
      <c r="F345" s="58"/>
      <c r="G345" s="58"/>
    </row>
    <row r="346">
      <c r="B346" s="58"/>
      <c r="C346" s="58"/>
      <c r="D346" s="58"/>
      <c r="E346" s="58"/>
      <c r="F346" s="58"/>
      <c r="G346" s="58"/>
    </row>
    <row r="347">
      <c r="B347" s="58"/>
      <c r="C347" s="58"/>
      <c r="D347" s="58"/>
      <c r="E347" s="58"/>
      <c r="F347" s="58"/>
      <c r="G347" s="58"/>
    </row>
    <row r="348">
      <c r="B348" s="58"/>
      <c r="C348" s="58"/>
      <c r="D348" s="58"/>
      <c r="E348" s="58"/>
      <c r="F348" s="58"/>
      <c r="G348" s="58"/>
    </row>
    <row r="349">
      <c r="B349" s="58"/>
      <c r="C349" s="58"/>
      <c r="D349" s="58"/>
      <c r="E349" s="58"/>
      <c r="F349" s="58"/>
      <c r="G349" s="58"/>
    </row>
    <row r="350">
      <c r="B350" s="58"/>
      <c r="C350" s="58"/>
      <c r="D350" s="58"/>
      <c r="E350" s="58"/>
      <c r="F350" s="58"/>
      <c r="G350" s="58"/>
    </row>
    <row r="351">
      <c r="B351" s="58"/>
      <c r="C351" s="58"/>
      <c r="D351" s="58"/>
      <c r="E351" s="58"/>
      <c r="F351" s="58"/>
      <c r="G351" s="58"/>
    </row>
    <row r="352">
      <c r="B352" s="58"/>
      <c r="C352" s="58"/>
      <c r="D352" s="58"/>
      <c r="E352" s="58"/>
      <c r="F352" s="58"/>
      <c r="G352" s="58"/>
    </row>
    <row r="353">
      <c r="B353" s="58"/>
      <c r="C353" s="58"/>
      <c r="D353" s="58"/>
      <c r="E353" s="58"/>
      <c r="F353" s="58"/>
      <c r="G353" s="58"/>
    </row>
    <row r="354">
      <c r="B354" s="58"/>
      <c r="C354" s="58"/>
      <c r="D354" s="58"/>
      <c r="E354" s="58"/>
      <c r="F354" s="58"/>
      <c r="G354" s="58"/>
    </row>
    <row r="355">
      <c r="B355" s="58"/>
      <c r="C355" s="58"/>
      <c r="D355" s="58"/>
      <c r="E355" s="58"/>
      <c r="F355" s="58"/>
      <c r="G355" s="58"/>
    </row>
    <row r="356">
      <c r="B356" s="58"/>
      <c r="C356" s="58"/>
      <c r="D356" s="58"/>
      <c r="E356" s="58"/>
      <c r="F356" s="58"/>
      <c r="G356" s="58"/>
    </row>
    <row r="357">
      <c r="B357" s="58"/>
      <c r="C357" s="58"/>
      <c r="D357" s="58"/>
      <c r="E357" s="58"/>
      <c r="F357" s="58"/>
      <c r="G357" s="58"/>
    </row>
    <row r="358">
      <c r="B358" s="58"/>
      <c r="C358" s="58"/>
      <c r="D358" s="58"/>
      <c r="E358" s="58"/>
      <c r="F358" s="58"/>
      <c r="G358" s="58"/>
    </row>
    <row r="359">
      <c r="B359" s="58"/>
      <c r="C359" s="58"/>
      <c r="D359" s="58"/>
      <c r="E359" s="58"/>
      <c r="F359" s="58"/>
      <c r="G359" s="58"/>
    </row>
    <row r="360">
      <c r="B360" s="58"/>
      <c r="C360" s="58"/>
      <c r="D360" s="58"/>
      <c r="E360" s="58"/>
      <c r="F360" s="58"/>
      <c r="G360" s="58"/>
    </row>
    <row r="361">
      <c r="B361" s="58"/>
      <c r="C361" s="58"/>
      <c r="D361" s="58"/>
      <c r="E361" s="58"/>
      <c r="F361" s="58"/>
      <c r="G361" s="58"/>
    </row>
    <row r="362">
      <c r="B362" s="58"/>
      <c r="C362" s="58"/>
      <c r="D362" s="58"/>
      <c r="E362" s="58"/>
      <c r="F362" s="58"/>
      <c r="G362" s="58"/>
    </row>
    <row r="363">
      <c r="B363" s="58"/>
      <c r="C363" s="58"/>
      <c r="D363" s="58"/>
      <c r="E363" s="58"/>
      <c r="F363" s="58"/>
      <c r="G363" s="58"/>
    </row>
    <row r="364">
      <c r="B364" s="58"/>
      <c r="C364" s="58"/>
      <c r="D364" s="58"/>
      <c r="E364" s="58"/>
      <c r="F364" s="58"/>
      <c r="G364" s="58"/>
    </row>
    <row r="365">
      <c r="B365" s="58"/>
      <c r="C365" s="58"/>
      <c r="D365" s="58"/>
      <c r="E365" s="58"/>
      <c r="F365" s="58"/>
      <c r="G365" s="58"/>
    </row>
    <row r="366">
      <c r="B366" s="58"/>
      <c r="C366" s="58"/>
      <c r="D366" s="58"/>
      <c r="E366" s="58"/>
      <c r="F366" s="58"/>
      <c r="G366" s="58"/>
    </row>
    <row r="367">
      <c r="B367" s="58"/>
      <c r="C367" s="58"/>
      <c r="D367" s="58"/>
      <c r="E367" s="58"/>
      <c r="F367" s="58"/>
      <c r="G367" s="58"/>
    </row>
    <row r="368">
      <c r="B368" s="58"/>
      <c r="C368" s="58"/>
      <c r="D368" s="58"/>
      <c r="E368" s="58"/>
      <c r="F368" s="58"/>
      <c r="G368" s="58"/>
    </row>
    <row r="369">
      <c r="B369" s="58"/>
      <c r="C369" s="58"/>
      <c r="D369" s="58"/>
      <c r="E369" s="58"/>
      <c r="F369" s="58"/>
      <c r="G369" s="58"/>
    </row>
    <row r="370">
      <c r="B370" s="58"/>
      <c r="C370" s="58"/>
      <c r="D370" s="58"/>
      <c r="E370" s="58"/>
      <c r="F370" s="58"/>
      <c r="G370" s="58"/>
    </row>
    <row r="371">
      <c r="B371" s="58"/>
      <c r="C371" s="58"/>
      <c r="D371" s="58"/>
      <c r="E371" s="58"/>
      <c r="F371" s="58"/>
      <c r="G371" s="58"/>
    </row>
    <row r="372">
      <c r="B372" s="58"/>
      <c r="C372" s="58"/>
      <c r="D372" s="58"/>
      <c r="E372" s="58"/>
      <c r="F372" s="58"/>
      <c r="G372" s="58"/>
    </row>
    <row r="373">
      <c r="B373" s="58"/>
      <c r="C373" s="58"/>
      <c r="D373" s="58"/>
      <c r="E373" s="58"/>
      <c r="F373" s="58"/>
      <c r="G373" s="58"/>
    </row>
    <row r="374">
      <c r="B374" s="58"/>
      <c r="C374" s="58"/>
      <c r="D374" s="58"/>
      <c r="E374" s="58"/>
      <c r="F374" s="58"/>
      <c r="G374" s="58"/>
    </row>
    <row r="375">
      <c r="B375" s="58"/>
      <c r="C375" s="58"/>
      <c r="D375" s="58"/>
      <c r="E375" s="58"/>
      <c r="F375" s="58"/>
      <c r="G375" s="58"/>
    </row>
    <row r="376">
      <c r="B376" s="58"/>
      <c r="C376" s="58"/>
      <c r="D376" s="58"/>
      <c r="E376" s="58"/>
      <c r="F376" s="58"/>
      <c r="G376" s="58"/>
    </row>
    <row r="377">
      <c r="B377" s="58"/>
      <c r="C377" s="58"/>
      <c r="D377" s="58"/>
      <c r="E377" s="58"/>
      <c r="F377" s="58"/>
      <c r="G377" s="58"/>
    </row>
    <row r="378">
      <c r="B378" s="58"/>
      <c r="C378" s="58"/>
      <c r="D378" s="58"/>
      <c r="E378" s="58"/>
      <c r="F378" s="58"/>
      <c r="G378" s="58"/>
    </row>
    <row r="379">
      <c r="B379" s="58"/>
      <c r="C379" s="58"/>
      <c r="D379" s="58"/>
      <c r="E379" s="58"/>
      <c r="F379" s="58"/>
      <c r="G379" s="58"/>
    </row>
    <row r="380">
      <c r="B380" s="58"/>
      <c r="C380" s="58"/>
      <c r="D380" s="58"/>
      <c r="E380" s="58"/>
      <c r="F380" s="58"/>
      <c r="G380" s="58"/>
    </row>
    <row r="381">
      <c r="B381" s="58"/>
      <c r="C381" s="58"/>
      <c r="D381" s="58"/>
      <c r="E381" s="58"/>
      <c r="F381" s="58"/>
      <c r="G381" s="58"/>
    </row>
    <row r="382">
      <c r="B382" s="58"/>
      <c r="C382" s="58"/>
      <c r="D382" s="58"/>
      <c r="E382" s="58"/>
      <c r="F382" s="58"/>
      <c r="G382" s="58"/>
    </row>
    <row r="383">
      <c r="B383" s="58"/>
      <c r="C383" s="58"/>
      <c r="D383" s="58"/>
      <c r="E383" s="58"/>
      <c r="F383" s="58"/>
      <c r="G383" s="58"/>
    </row>
    <row r="384">
      <c r="B384" s="58"/>
      <c r="C384" s="58"/>
      <c r="D384" s="58"/>
      <c r="E384" s="58"/>
      <c r="F384" s="58"/>
      <c r="G384" s="58"/>
    </row>
    <row r="385">
      <c r="B385" s="58"/>
      <c r="C385" s="58"/>
      <c r="D385" s="58"/>
      <c r="E385" s="58"/>
      <c r="F385" s="58"/>
      <c r="G385" s="58"/>
    </row>
    <row r="386">
      <c r="B386" s="58"/>
      <c r="C386" s="58"/>
      <c r="D386" s="58"/>
      <c r="E386" s="58"/>
      <c r="F386" s="58"/>
      <c r="G386" s="58"/>
    </row>
    <row r="387">
      <c r="B387" s="58"/>
      <c r="C387" s="58"/>
      <c r="D387" s="58"/>
      <c r="E387" s="58"/>
      <c r="F387" s="58"/>
      <c r="G387" s="58"/>
    </row>
    <row r="388">
      <c r="B388" s="58"/>
      <c r="C388" s="58"/>
      <c r="D388" s="58"/>
      <c r="E388" s="58"/>
      <c r="F388" s="58"/>
      <c r="G388" s="58"/>
    </row>
    <row r="389">
      <c r="B389" s="58"/>
      <c r="C389" s="58"/>
      <c r="D389" s="58"/>
      <c r="E389" s="58"/>
      <c r="F389" s="58"/>
      <c r="G389" s="58"/>
    </row>
    <row r="390">
      <c r="B390" s="58"/>
      <c r="C390" s="58"/>
      <c r="D390" s="58"/>
      <c r="E390" s="58"/>
      <c r="F390" s="58"/>
      <c r="G390" s="58"/>
    </row>
    <row r="391">
      <c r="B391" s="58"/>
      <c r="C391" s="58"/>
      <c r="D391" s="58"/>
      <c r="E391" s="58"/>
      <c r="F391" s="58"/>
      <c r="G391" s="58"/>
    </row>
    <row r="392">
      <c r="B392" s="58"/>
      <c r="C392" s="58"/>
      <c r="D392" s="58"/>
      <c r="E392" s="58"/>
      <c r="F392" s="58"/>
      <c r="G392" s="58"/>
    </row>
    <row r="393">
      <c r="B393" s="58"/>
      <c r="C393" s="58"/>
      <c r="D393" s="58"/>
      <c r="E393" s="58"/>
      <c r="F393" s="58"/>
      <c r="G393" s="58"/>
    </row>
    <row r="394">
      <c r="B394" s="58"/>
      <c r="C394" s="58"/>
      <c r="D394" s="58"/>
      <c r="E394" s="58"/>
      <c r="F394" s="58"/>
      <c r="G394" s="58"/>
    </row>
    <row r="395">
      <c r="B395" s="58"/>
      <c r="C395" s="58"/>
      <c r="D395" s="58"/>
      <c r="E395" s="58"/>
      <c r="F395" s="58"/>
      <c r="G395" s="58"/>
    </row>
    <row r="396">
      <c r="B396" s="58"/>
      <c r="C396" s="58"/>
      <c r="D396" s="58"/>
      <c r="E396" s="58"/>
      <c r="F396" s="58"/>
      <c r="G396" s="58"/>
    </row>
    <row r="397">
      <c r="B397" s="58"/>
      <c r="C397" s="58"/>
      <c r="D397" s="58"/>
      <c r="E397" s="58"/>
      <c r="F397" s="58"/>
      <c r="G397" s="58"/>
    </row>
    <row r="398">
      <c r="B398" s="58"/>
      <c r="C398" s="58"/>
      <c r="D398" s="58"/>
      <c r="E398" s="58"/>
      <c r="F398" s="58"/>
      <c r="G398" s="58"/>
    </row>
    <row r="399">
      <c r="B399" s="58"/>
      <c r="C399" s="58"/>
      <c r="D399" s="58"/>
      <c r="E399" s="58"/>
      <c r="F399" s="58"/>
      <c r="G399" s="58"/>
    </row>
    <row r="400">
      <c r="B400" s="58"/>
      <c r="C400" s="58"/>
      <c r="D400" s="58"/>
      <c r="E400" s="58"/>
      <c r="F400" s="58"/>
      <c r="G400" s="58"/>
    </row>
    <row r="401">
      <c r="B401" s="58"/>
      <c r="C401" s="58"/>
      <c r="D401" s="58"/>
      <c r="E401" s="58"/>
      <c r="F401" s="58"/>
      <c r="G401" s="58"/>
    </row>
    <row r="402">
      <c r="B402" s="58"/>
      <c r="C402" s="58"/>
      <c r="D402" s="58"/>
      <c r="E402" s="58"/>
      <c r="F402" s="58"/>
      <c r="G402" s="58"/>
    </row>
    <row r="403">
      <c r="B403" s="58"/>
      <c r="C403" s="58"/>
      <c r="D403" s="58"/>
      <c r="E403" s="58"/>
      <c r="F403" s="58"/>
      <c r="G403" s="58"/>
    </row>
    <row r="404">
      <c r="B404" s="58"/>
      <c r="C404" s="58"/>
      <c r="D404" s="58"/>
      <c r="E404" s="58"/>
      <c r="F404" s="58"/>
      <c r="G404" s="58"/>
    </row>
    <row r="405">
      <c r="B405" s="58"/>
      <c r="C405" s="58"/>
      <c r="D405" s="58"/>
      <c r="E405" s="58"/>
      <c r="F405" s="58"/>
      <c r="G405" s="58"/>
    </row>
    <row r="406">
      <c r="B406" s="58"/>
      <c r="C406" s="58"/>
      <c r="D406" s="58"/>
      <c r="E406" s="58"/>
      <c r="F406" s="58"/>
      <c r="G406" s="58"/>
    </row>
    <row r="407">
      <c r="B407" s="58"/>
      <c r="C407" s="58"/>
      <c r="D407" s="58"/>
      <c r="E407" s="58"/>
      <c r="F407" s="58"/>
      <c r="G407" s="58"/>
    </row>
    <row r="408">
      <c r="B408" s="58"/>
      <c r="C408" s="58"/>
      <c r="D408" s="58"/>
      <c r="E408" s="58"/>
      <c r="F408" s="58"/>
      <c r="G408" s="58"/>
    </row>
    <row r="409">
      <c r="B409" s="58"/>
      <c r="C409" s="58"/>
      <c r="D409" s="58"/>
      <c r="E409" s="58"/>
      <c r="F409" s="58"/>
      <c r="G409" s="58"/>
    </row>
    <row r="410">
      <c r="B410" s="58"/>
      <c r="C410" s="58"/>
      <c r="D410" s="58"/>
      <c r="E410" s="58"/>
      <c r="F410" s="58"/>
      <c r="G410" s="58"/>
    </row>
    <row r="411">
      <c r="B411" s="58"/>
      <c r="C411" s="58"/>
      <c r="D411" s="58"/>
      <c r="E411" s="58"/>
      <c r="F411" s="58"/>
      <c r="G411" s="58"/>
    </row>
    <row r="412">
      <c r="B412" s="58"/>
      <c r="C412" s="58"/>
      <c r="D412" s="58"/>
      <c r="E412" s="58"/>
      <c r="F412" s="58"/>
      <c r="G412" s="58"/>
    </row>
    <row r="413">
      <c r="B413" s="58"/>
      <c r="C413" s="58"/>
      <c r="D413" s="58"/>
      <c r="E413" s="58"/>
      <c r="F413" s="58"/>
      <c r="G413" s="58"/>
    </row>
    <row r="414">
      <c r="B414" s="58"/>
      <c r="C414" s="58"/>
      <c r="D414" s="58"/>
      <c r="E414" s="58"/>
      <c r="F414" s="58"/>
      <c r="G414" s="58"/>
    </row>
    <row r="415">
      <c r="B415" s="58"/>
      <c r="C415" s="58"/>
      <c r="D415" s="58"/>
      <c r="E415" s="58"/>
      <c r="F415" s="58"/>
      <c r="G415" s="58"/>
    </row>
    <row r="416">
      <c r="B416" s="58"/>
      <c r="C416" s="58"/>
      <c r="D416" s="58"/>
      <c r="E416" s="58"/>
      <c r="F416" s="58"/>
      <c r="G416" s="58"/>
    </row>
    <row r="417">
      <c r="B417" s="58"/>
      <c r="C417" s="58"/>
      <c r="D417" s="58"/>
      <c r="E417" s="58"/>
      <c r="F417" s="58"/>
      <c r="G417" s="58"/>
    </row>
    <row r="418">
      <c r="B418" s="58"/>
      <c r="C418" s="58"/>
      <c r="D418" s="58"/>
      <c r="E418" s="58"/>
      <c r="F418" s="58"/>
      <c r="G418" s="58"/>
    </row>
    <row r="419">
      <c r="B419" s="58"/>
      <c r="C419" s="58"/>
      <c r="D419" s="58"/>
      <c r="E419" s="58"/>
      <c r="F419" s="58"/>
      <c r="G419" s="58"/>
    </row>
    <row r="420">
      <c r="B420" s="58"/>
      <c r="C420" s="58"/>
      <c r="D420" s="58"/>
      <c r="E420" s="58"/>
      <c r="F420" s="58"/>
      <c r="G420" s="58"/>
    </row>
    <row r="421">
      <c r="B421" s="58"/>
      <c r="C421" s="58"/>
      <c r="D421" s="58"/>
      <c r="E421" s="58"/>
      <c r="F421" s="58"/>
      <c r="G421" s="58"/>
    </row>
    <row r="422">
      <c r="B422" s="58"/>
      <c r="C422" s="58"/>
      <c r="D422" s="58"/>
      <c r="E422" s="58"/>
      <c r="F422" s="58"/>
      <c r="G422" s="58"/>
    </row>
    <row r="423">
      <c r="B423" s="58"/>
      <c r="C423" s="58"/>
      <c r="D423" s="58"/>
      <c r="E423" s="58"/>
      <c r="F423" s="58"/>
      <c r="G423" s="58"/>
    </row>
    <row r="424">
      <c r="B424" s="58"/>
      <c r="C424" s="58"/>
      <c r="D424" s="58"/>
      <c r="E424" s="58"/>
      <c r="F424" s="58"/>
      <c r="G424" s="58"/>
    </row>
    <row r="425">
      <c r="B425" s="58"/>
      <c r="C425" s="58"/>
      <c r="D425" s="58"/>
      <c r="E425" s="58"/>
      <c r="F425" s="58"/>
      <c r="G425" s="58"/>
    </row>
    <row r="426">
      <c r="B426" s="58"/>
      <c r="C426" s="58"/>
      <c r="D426" s="58"/>
      <c r="E426" s="58"/>
      <c r="F426" s="58"/>
      <c r="G426" s="58"/>
    </row>
    <row r="427">
      <c r="B427" s="58"/>
      <c r="C427" s="58"/>
      <c r="D427" s="58"/>
      <c r="E427" s="58"/>
      <c r="F427" s="58"/>
      <c r="G427" s="58"/>
    </row>
    <row r="428">
      <c r="B428" s="58"/>
      <c r="C428" s="58"/>
      <c r="D428" s="58"/>
      <c r="E428" s="58"/>
      <c r="F428" s="58"/>
      <c r="G428" s="58"/>
    </row>
    <row r="429">
      <c r="B429" s="58"/>
      <c r="C429" s="58"/>
      <c r="D429" s="58"/>
      <c r="E429" s="58"/>
      <c r="F429" s="58"/>
      <c r="G429" s="58"/>
    </row>
    <row r="430">
      <c r="B430" s="58"/>
      <c r="C430" s="58"/>
      <c r="D430" s="58"/>
      <c r="E430" s="58"/>
      <c r="F430" s="58"/>
      <c r="G430" s="58"/>
    </row>
    <row r="431">
      <c r="B431" s="58"/>
      <c r="C431" s="58"/>
      <c r="D431" s="58"/>
      <c r="E431" s="58"/>
      <c r="F431" s="58"/>
      <c r="G431" s="58"/>
    </row>
    <row r="432">
      <c r="B432" s="58"/>
      <c r="C432" s="58"/>
      <c r="D432" s="58"/>
      <c r="E432" s="58"/>
      <c r="F432" s="58"/>
      <c r="G432" s="58"/>
    </row>
    <row r="433">
      <c r="B433" s="58"/>
      <c r="C433" s="58"/>
      <c r="D433" s="58"/>
      <c r="E433" s="58"/>
      <c r="F433" s="58"/>
      <c r="G433" s="58"/>
    </row>
    <row r="434">
      <c r="B434" s="58"/>
      <c r="C434" s="58"/>
      <c r="D434" s="58"/>
      <c r="E434" s="58"/>
      <c r="F434" s="58"/>
      <c r="G434" s="58"/>
    </row>
    <row r="435">
      <c r="B435" s="58"/>
      <c r="C435" s="58"/>
      <c r="D435" s="58"/>
      <c r="E435" s="58"/>
      <c r="F435" s="58"/>
      <c r="G435" s="58"/>
    </row>
    <row r="436">
      <c r="B436" s="58"/>
      <c r="C436" s="58"/>
      <c r="D436" s="58"/>
      <c r="E436" s="58"/>
      <c r="F436" s="58"/>
      <c r="G436" s="58"/>
    </row>
    <row r="437">
      <c r="B437" s="58"/>
      <c r="C437" s="58"/>
      <c r="D437" s="58"/>
      <c r="E437" s="58"/>
      <c r="F437" s="58"/>
      <c r="G437" s="58"/>
    </row>
    <row r="438">
      <c r="B438" s="58"/>
      <c r="C438" s="58"/>
      <c r="D438" s="58"/>
      <c r="E438" s="58"/>
      <c r="F438" s="58"/>
      <c r="G438" s="58"/>
    </row>
    <row r="439">
      <c r="B439" s="58"/>
      <c r="C439" s="58"/>
      <c r="D439" s="58"/>
      <c r="E439" s="58"/>
      <c r="F439" s="58"/>
      <c r="G439" s="58"/>
    </row>
    <row r="440">
      <c r="B440" s="58"/>
      <c r="C440" s="58"/>
      <c r="D440" s="58"/>
      <c r="E440" s="58"/>
      <c r="F440" s="58"/>
      <c r="G440" s="58"/>
    </row>
    <row r="441">
      <c r="B441" s="58"/>
      <c r="C441" s="58"/>
      <c r="D441" s="58"/>
      <c r="E441" s="58"/>
      <c r="F441" s="58"/>
      <c r="G441" s="58"/>
    </row>
    <row r="442">
      <c r="B442" s="58"/>
      <c r="C442" s="58"/>
      <c r="D442" s="58"/>
      <c r="E442" s="58"/>
      <c r="F442" s="58"/>
      <c r="G442" s="58"/>
    </row>
    <row r="443">
      <c r="B443" s="58"/>
      <c r="C443" s="58"/>
      <c r="D443" s="58"/>
      <c r="E443" s="58"/>
      <c r="F443" s="58"/>
      <c r="G443" s="58"/>
    </row>
    <row r="444">
      <c r="B444" s="58"/>
      <c r="C444" s="58"/>
      <c r="D444" s="58"/>
      <c r="E444" s="58"/>
      <c r="F444" s="58"/>
      <c r="G444" s="58"/>
    </row>
    <row r="445">
      <c r="B445" s="58"/>
      <c r="C445" s="58"/>
      <c r="D445" s="58"/>
      <c r="E445" s="58"/>
      <c r="F445" s="58"/>
      <c r="G445" s="58"/>
    </row>
    <row r="446">
      <c r="B446" s="58"/>
      <c r="C446" s="58"/>
      <c r="D446" s="58"/>
      <c r="E446" s="58"/>
      <c r="F446" s="58"/>
      <c r="G446" s="58"/>
    </row>
    <row r="447">
      <c r="B447" s="58"/>
      <c r="C447" s="58"/>
      <c r="D447" s="58"/>
      <c r="E447" s="58"/>
      <c r="F447" s="58"/>
      <c r="G447" s="58"/>
    </row>
    <row r="448">
      <c r="B448" s="58"/>
      <c r="C448" s="58"/>
      <c r="D448" s="58"/>
      <c r="E448" s="58"/>
      <c r="F448" s="58"/>
      <c r="G448" s="58"/>
    </row>
    <row r="449">
      <c r="B449" s="58"/>
      <c r="C449" s="58"/>
      <c r="D449" s="58"/>
      <c r="E449" s="58"/>
      <c r="F449" s="58"/>
      <c r="G449" s="58"/>
    </row>
    <row r="450">
      <c r="B450" s="58"/>
      <c r="C450" s="58"/>
      <c r="D450" s="58"/>
      <c r="E450" s="58"/>
      <c r="F450" s="58"/>
      <c r="G450" s="58"/>
    </row>
    <row r="451">
      <c r="B451" s="58"/>
      <c r="C451" s="58"/>
      <c r="D451" s="58"/>
      <c r="E451" s="58"/>
      <c r="F451" s="58"/>
      <c r="G451" s="58"/>
    </row>
    <row r="452">
      <c r="B452" s="58"/>
      <c r="C452" s="58"/>
      <c r="D452" s="58"/>
      <c r="E452" s="58"/>
      <c r="F452" s="58"/>
      <c r="G452" s="58"/>
    </row>
    <row r="453">
      <c r="B453" s="58"/>
      <c r="C453" s="58"/>
      <c r="D453" s="58"/>
      <c r="E453" s="58"/>
      <c r="F453" s="58"/>
      <c r="G453" s="58"/>
    </row>
    <row r="454">
      <c r="B454" s="58"/>
      <c r="C454" s="58"/>
      <c r="D454" s="58"/>
      <c r="E454" s="58"/>
      <c r="F454" s="58"/>
      <c r="G454" s="58"/>
    </row>
    <row r="455">
      <c r="B455" s="58"/>
      <c r="C455" s="58"/>
      <c r="D455" s="58"/>
      <c r="E455" s="58"/>
      <c r="F455" s="58"/>
      <c r="G455" s="58"/>
    </row>
    <row r="456">
      <c r="B456" s="58"/>
      <c r="C456" s="58"/>
      <c r="D456" s="58"/>
      <c r="E456" s="58"/>
      <c r="F456" s="58"/>
      <c r="G456" s="58"/>
    </row>
    <row r="457">
      <c r="B457" s="58"/>
      <c r="C457" s="58"/>
      <c r="D457" s="58"/>
      <c r="E457" s="58"/>
      <c r="F457" s="58"/>
      <c r="G457" s="58"/>
    </row>
    <row r="458">
      <c r="B458" s="58"/>
      <c r="C458" s="58"/>
      <c r="D458" s="58"/>
      <c r="E458" s="58"/>
      <c r="F458" s="58"/>
      <c r="G458" s="58"/>
    </row>
    <row r="459">
      <c r="B459" s="58"/>
      <c r="C459" s="58"/>
      <c r="D459" s="58"/>
      <c r="E459" s="58"/>
      <c r="F459" s="58"/>
      <c r="G459" s="58"/>
    </row>
    <row r="460">
      <c r="B460" s="58"/>
      <c r="C460" s="58"/>
      <c r="D460" s="58"/>
      <c r="E460" s="58"/>
      <c r="F460" s="58"/>
      <c r="G460" s="58"/>
    </row>
    <row r="461">
      <c r="B461" s="58"/>
      <c r="C461" s="58"/>
      <c r="D461" s="58"/>
      <c r="E461" s="58"/>
      <c r="F461" s="58"/>
      <c r="G461" s="58"/>
    </row>
    <row r="462">
      <c r="B462" s="58"/>
      <c r="C462" s="58"/>
      <c r="D462" s="58"/>
      <c r="E462" s="58"/>
      <c r="F462" s="58"/>
      <c r="G462" s="58"/>
    </row>
    <row r="463">
      <c r="B463" s="58"/>
      <c r="C463" s="58"/>
      <c r="D463" s="58"/>
      <c r="E463" s="58"/>
      <c r="F463" s="58"/>
      <c r="G463" s="58"/>
    </row>
    <row r="464">
      <c r="B464" s="58"/>
      <c r="C464" s="58"/>
      <c r="D464" s="58"/>
      <c r="E464" s="58"/>
      <c r="F464" s="58"/>
      <c r="G464" s="58"/>
    </row>
    <row r="465">
      <c r="B465" s="58"/>
      <c r="C465" s="58"/>
      <c r="D465" s="58"/>
      <c r="E465" s="58"/>
      <c r="F465" s="58"/>
      <c r="G465" s="58"/>
    </row>
    <row r="466">
      <c r="B466" s="58"/>
      <c r="C466" s="58"/>
      <c r="D466" s="58"/>
      <c r="E466" s="58"/>
      <c r="F466" s="58"/>
      <c r="G466" s="58"/>
    </row>
    <row r="467">
      <c r="B467" s="58"/>
      <c r="C467" s="58"/>
      <c r="D467" s="58"/>
      <c r="E467" s="58"/>
      <c r="F467" s="58"/>
      <c r="G467" s="58"/>
    </row>
    <row r="468">
      <c r="B468" s="58"/>
      <c r="C468" s="58"/>
      <c r="D468" s="58"/>
      <c r="E468" s="58"/>
      <c r="F468" s="58"/>
      <c r="G468" s="58"/>
    </row>
    <row r="469">
      <c r="B469" s="58"/>
      <c r="C469" s="58"/>
      <c r="D469" s="58"/>
      <c r="E469" s="58"/>
      <c r="F469" s="58"/>
      <c r="G469" s="58"/>
    </row>
    <row r="470">
      <c r="B470" s="58"/>
      <c r="C470" s="58"/>
      <c r="D470" s="58"/>
      <c r="E470" s="58"/>
      <c r="F470" s="58"/>
      <c r="G470" s="58"/>
    </row>
    <row r="471">
      <c r="B471" s="58"/>
      <c r="C471" s="58"/>
      <c r="D471" s="58"/>
      <c r="E471" s="58"/>
      <c r="F471" s="58"/>
      <c r="G471" s="58"/>
    </row>
    <row r="472">
      <c r="B472" s="58"/>
      <c r="C472" s="58"/>
      <c r="D472" s="58"/>
      <c r="E472" s="58"/>
      <c r="F472" s="58"/>
      <c r="G472" s="58"/>
    </row>
    <row r="473">
      <c r="B473" s="58"/>
      <c r="C473" s="58"/>
      <c r="D473" s="58"/>
      <c r="E473" s="58"/>
      <c r="F473" s="58"/>
      <c r="G473" s="58"/>
    </row>
    <row r="474">
      <c r="B474" s="58"/>
      <c r="C474" s="58"/>
      <c r="D474" s="58"/>
      <c r="E474" s="58"/>
      <c r="F474" s="58"/>
      <c r="G474" s="58"/>
    </row>
    <row r="475">
      <c r="B475" s="58"/>
      <c r="C475" s="58"/>
      <c r="D475" s="58"/>
      <c r="E475" s="58"/>
      <c r="F475" s="58"/>
      <c r="G475" s="58"/>
    </row>
    <row r="476">
      <c r="B476" s="58"/>
      <c r="C476" s="58"/>
      <c r="D476" s="58"/>
      <c r="E476" s="58"/>
      <c r="F476" s="58"/>
      <c r="G476" s="58"/>
    </row>
    <row r="477">
      <c r="B477" s="58"/>
      <c r="C477" s="58"/>
      <c r="D477" s="58"/>
      <c r="E477" s="58"/>
      <c r="F477" s="58"/>
      <c r="G477" s="58"/>
    </row>
    <row r="478">
      <c r="B478" s="58"/>
      <c r="C478" s="58"/>
      <c r="D478" s="58"/>
      <c r="E478" s="58"/>
      <c r="F478" s="58"/>
      <c r="G478" s="58"/>
    </row>
    <row r="479">
      <c r="B479" s="58"/>
      <c r="C479" s="58"/>
      <c r="D479" s="58"/>
      <c r="E479" s="58"/>
      <c r="F479" s="58"/>
      <c r="G479" s="58"/>
    </row>
    <row r="480">
      <c r="B480" s="58"/>
      <c r="C480" s="58"/>
      <c r="D480" s="58"/>
      <c r="E480" s="58"/>
      <c r="F480" s="58"/>
      <c r="G480" s="58"/>
    </row>
    <row r="481">
      <c r="B481" s="58"/>
      <c r="C481" s="58"/>
      <c r="D481" s="58"/>
      <c r="E481" s="58"/>
      <c r="F481" s="58"/>
      <c r="G481" s="58"/>
    </row>
    <row r="482">
      <c r="B482" s="58"/>
      <c r="C482" s="58"/>
      <c r="D482" s="58"/>
      <c r="E482" s="58"/>
      <c r="F482" s="58"/>
      <c r="G482" s="58"/>
    </row>
    <row r="483">
      <c r="B483" s="58"/>
      <c r="C483" s="58"/>
      <c r="D483" s="58"/>
      <c r="E483" s="58"/>
      <c r="F483" s="58"/>
      <c r="G483" s="58"/>
    </row>
    <row r="484">
      <c r="B484" s="58"/>
      <c r="C484" s="58"/>
      <c r="D484" s="58"/>
      <c r="E484" s="58"/>
      <c r="F484" s="58"/>
      <c r="G484" s="58"/>
    </row>
    <row r="485">
      <c r="B485" s="58"/>
      <c r="C485" s="58"/>
      <c r="D485" s="58"/>
      <c r="E485" s="58"/>
      <c r="F485" s="58"/>
      <c r="G485" s="58"/>
    </row>
    <row r="486">
      <c r="B486" s="58"/>
      <c r="C486" s="58"/>
      <c r="D486" s="58"/>
      <c r="E486" s="58"/>
      <c r="F486" s="58"/>
      <c r="G486" s="58"/>
    </row>
    <row r="487">
      <c r="B487" s="58"/>
      <c r="C487" s="58"/>
      <c r="D487" s="58"/>
      <c r="E487" s="58"/>
      <c r="F487" s="58"/>
      <c r="G487" s="58"/>
    </row>
    <row r="488">
      <c r="B488" s="58"/>
      <c r="C488" s="58"/>
      <c r="D488" s="58"/>
      <c r="E488" s="58"/>
      <c r="F488" s="58"/>
      <c r="G488" s="58"/>
    </row>
    <row r="489">
      <c r="B489" s="58"/>
      <c r="C489" s="58"/>
      <c r="D489" s="58"/>
      <c r="E489" s="58"/>
      <c r="F489" s="58"/>
      <c r="G489" s="58"/>
    </row>
    <row r="490">
      <c r="B490" s="58"/>
      <c r="C490" s="58"/>
      <c r="D490" s="58"/>
      <c r="E490" s="58"/>
      <c r="F490" s="58"/>
      <c r="G490" s="58"/>
    </row>
    <row r="491">
      <c r="B491" s="58"/>
      <c r="C491" s="58"/>
      <c r="D491" s="58"/>
      <c r="E491" s="58"/>
      <c r="F491" s="58"/>
      <c r="G491" s="58"/>
    </row>
    <row r="492">
      <c r="B492" s="58"/>
      <c r="C492" s="58"/>
      <c r="D492" s="58"/>
      <c r="E492" s="58"/>
      <c r="F492" s="58"/>
      <c r="G492" s="58"/>
    </row>
    <row r="493">
      <c r="B493" s="58"/>
      <c r="C493" s="58"/>
      <c r="D493" s="58"/>
      <c r="E493" s="58"/>
      <c r="F493" s="58"/>
      <c r="G493" s="58"/>
    </row>
    <row r="494">
      <c r="B494" s="58"/>
      <c r="C494" s="58"/>
      <c r="D494" s="58"/>
      <c r="E494" s="58"/>
      <c r="F494" s="58"/>
      <c r="G494" s="58"/>
    </row>
    <row r="495">
      <c r="B495" s="58"/>
      <c r="C495" s="58"/>
      <c r="D495" s="58"/>
      <c r="E495" s="58"/>
      <c r="F495" s="58"/>
      <c r="G495" s="58"/>
    </row>
    <row r="496">
      <c r="B496" s="58"/>
      <c r="C496" s="58"/>
      <c r="D496" s="58"/>
      <c r="E496" s="58"/>
      <c r="F496" s="58"/>
      <c r="G496" s="58"/>
    </row>
    <row r="497">
      <c r="B497" s="58"/>
      <c r="C497" s="58"/>
      <c r="D497" s="58"/>
      <c r="E497" s="58"/>
      <c r="F497" s="58"/>
      <c r="G497" s="58"/>
    </row>
    <row r="498">
      <c r="B498" s="58"/>
      <c r="C498" s="58"/>
      <c r="D498" s="58"/>
      <c r="E498" s="58"/>
      <c r="F498" s="58"/>
      <c r="G498" s="58"/>
    </row>
    <row r="499">
      <c r="B499" s="58"/>
      <c r="C499" s="58"/>
      <c r="D499" s="58"/>
      <c r="E499" s="58"/>
      <c r="F499" s="58"/>
      <c r="G499" s="58"/>
    </row>
    <row r="500">
      <c r="B500" s="58"/>
      <c r="C500" s="58"/>
      <c r="D500" s="58"/>
      <c r="E500" s="58"/>
      <c r="F500" s="58"/>
      <c r="G500" s="58"/>
    </row>
    <row r="501">
      <c r="B501" s="58"/>
      <c r="C501" s="58"/>
      <c r="D501" s="58"/>
      <c r="E501" s="58"/>
      <c r="F501" s="58"/>
      <c r="G501" s="58"/>
    </row>
    <row r="502">
      <c r="B502" s="58"/>
      <c r="C502" s="58"/>
      <c r="D502" s="58"/>
      <c r="E502" s="58"/>
      <c r="F502" s="58"/>
      <c r="G502" s="58"/>
    </row>
    <row r="503">
      <c r="B503" s="58"/>
      <c r="C503" s="58"/>
      <c r="D503" s="58"/>
      <c r="E503" s="58"/>
      <c r="F503" s="58"/>
      <c r="G503" s="58"/>
    </row>
    <row r="504">
      <c r="B504" s="58"/>
      <c r="C504" s="58"/>
      <c r="D504" s="58"/>
      <c r="E504" s="58"/>
      <c r="F504" s="58"/>
      <c r="G504" s="58"/>
    </row>
    <row r="505">
      <c r="B505" s="58"/>
      <c r="C505" s="58"/>
      <c r="D505" s="58"/>
      <c r="E505" s="58"/>
      <c r="F505" s="58"/>
      <c r="G505" s="58"/>
    </row>
    <row r="506">
      <c r="B506" s="58"/>
      <c r="C506" s="58"/>
      <c r="D506" s="58"/>
      <c r="E506" s="58"/>
      <c r="F506" s="58"/>
      <c r="G506" s="58"/>
    </row>
    <row r="507">
      <c r="B507" s="58"/>
      <c r="C507" s="58"/>
      <c r="D507" s="58"/>
      <c r="E507" s="58"/>
      <c r="F507" s="58"/>
      <c r="G507" s="58"/>
    </row>
    <row r="508">
      <c r="B508" s="58"/>
      <c r="C508" s="58"/>
      <c r="D508" s="58"/>
      <c r="E508" s="58"/>
      <c r="F508" s="58"/>
      <c r="G508" s="58"/>
    </row>
    <row r="509">
      <c r="B509" s="58"/>
      <c r="C509" s="58"/>
      <c r="D509" s="58"/>
      <c r="E509" s="58"/>
      <c r="F509" s="58"/>
      <c r="G509" s="58"/>
    </row>
    <row r="510">
      <c r="B510" s="58"/>
      <c r="C510" s="58"/>
      <c r="D510" s="58"/>
      <c r="E510" s="58"/>
      <c r="F510" s="58"/>
      <c r="G510" s="58"/>
    </row>
    <row r="511">
      <c r="B511" s="58"/>
      <c r="C511" s="58"/>
      <c r="D511" s="58"/>
      <c r="E511" s="58"/>
      <c r="F511" s="58"/>
      <c r="G511" s="58"/>
    </row>
    <row r="512">
      <c r="B512" s="58"/>
      <c r="C512" s="58"/>
      <c r="D512" s="58"/>
      <c r="E512" s="58"/>
      <c r="F512" s="58"/>
      <c r="G512" s="58"/>
    </row>
    <row r="513">
      <c r="B513" s="58"/>
      <c r="C513" s="58"/>
      <c r="D513" s="58"/>
      <c r="E513" s="58"/>
      <c r="F513" s="58"/>
      <c r="G513" s="58"/>
    </row>
    <row r="514">
      <c r="B514" s="58"/>
      <c r="C514" s="58"/>
      <c r="D514" s="58"/>
      <c r="E514" s="58"/>
      <c r="F514" s="58"/>
      <c r="G514" s="58"/>
    </row>
    <row r="515">
      <c r="B515" s="58"/>
      <c r="C515" s="58"/>
      <c r="D515" s="58"/>
      <c r="E515" s="58"/>
      <c r="F515" s="58"/>
      <c r="G515" s="58"/>
    </row>
    <row r="516">
      <c r="B516" s="58"/>
      <c r="C516" s="58"/>
      <c r="D516" s="58"/>
      <c r="E516" s="58"/>
      <c r="F516" s="58"/>
      <c r="G516" s="58"/>
    </row>
    <row r="517">
      <c r="B517" s="58"/>
      <c r="C517" s="58"/>
      <c r="D517" s="58"/>
      <c r="E517" s="58"/>
      <c r="F517" s="58"/>
      <c r="G517" s="58"/>
    </row>
    <row r="518">
      <c r="B518" s="58"/>
      <c r="C518" s="58"/>
      <c r="D518" s="58"/>
      <c r="E518" s="58"/>
      <c r="F518" s="58"/>
      <c r="G518" s="58"/>
    </row>
    <row r="519">
      <c r="B519" s="58"/>
      <c r="C519" s="58"/>
      <c r="D519" s="58"/>
      <c r="E519" s="58"/>
      <c r="F519" s="58"/>
      <c r="G519" s="58"/>
    </row>
    <row r="520">
      <c r="B520" s="58"/>
      <c r="C520" s="58"/>
      <c r="D520" s="58"/>
      <c r="E520" s="58"/>
      <c r="F520" s="58"/>
      <c r="G520" s="58"/>
    </row>
    <row r="521">
      <c r="B521" s="58"/>
      <c r="C521" s="58"/>
      <c r="D521" s="58"/>
      <c r="E521" s="58"/>
      <c r="F521" s="58"/>
      <c r="G521" s="58"/>
    </row>
    <row r="522">
      <c r="B522" s="58"/>
      <c r="C522" s="58"/>
      <c r="D522" s="58"/>
      <c r="E522" s="58"/>
      <c r="F522" s="58"/>
      <c r="G522" s="58"/>
    </row>
    <row r="523">
      <c r="B523" s="58"/>
      <c r="C523" s="58"/>
      <c r="D523" s="58"/>
      <c r="E523" s="58"/>
      <c r="F523" s="58"/>
      <c r="G523" s="58"/>
    </row>
    <row r="524">
      <c r="B524" s="58"/>
      <c r="C524" s="58"/>
      <c r="D524" s="58"/>
      <c r="E524" s="58"/>
      <c r="F524" s="58"/>
      <c r="G524" s="58"/>
    </row>
    <row r="525">
      <c r="B525" s="58"/>
      <c r="C525" s="58"/>
      <c r="D525" s="58"/>
      <c r="E525" s="58"/>
      <c r="F525" s="58"/>
      <c r="G525" s="58"/>
    </row>
    <row r="526">
      <c r="B526" s="58"/>
      <c r="C526" s="58"/>
      <c r="D526" s="58"/>
      <c r="E526" s="58"/>
      <c r="F526" s="58"/>
      <c r="G526" s="58"/>
    </row>
    <row r="527">
      <c r="B527" s="58"/>
      <c r="C527" s="58"/>
      <c r="D527" s="58"/>
      <c r="E527" s="58"/>
      <c r="F527" s="58"/>
      <c r="G527" s="58"/>
    </row>
    <row r="528">
      <c r="B528" s="58"/>
      <c r="C528" s="58"/>
      <c r="D528" s="58"/>
      <c r="E528" s="58"/>
      <c r="F528" s="58"/>
      <c r="G528" s="58"/>
    </row>
    <row r="529">
      <c r="B529" s="58"/>
      <c r="C529" s="58"/>
      <c r="D529" s="58"/>
      <c r="E529" s="58"/>
      <c r="F529" s="58"/>
      <c r="G529" s="58"/>
    </row>
    <row r="530">
      <c r="B530" s="58"/>
      <c r="C530" s="58"/>
      <c r="D530" s="58"/>
      <c r="E530" s="58"/>
      <c r="F530" s="58"/>
      <c r="G530" s="58"/>
    </row>
    <row r="531">
      <c r="B531" s="58"/>
      <c r="C531" s="58"/>
      <c r="D531" s="58"/>
      <c r="E531" s="58"/>
      <c r="F531" s="58"/>
      <c r="G531" s="58"/>
    </row>
    <row r="532">
      <c r="B532" s="58"/>
      <c r="C532" s="58"/>
      <c r="D532" s="58"/>
      <c r="E532" s="58"/>
      <c r="F532" s="58"/>
      <c r="G532" s="58"/>
    </row>
    <row r="533">
      <c r="B533" s="58"/>
      <c r="C533" s="58"/>
      <c r="D533" s="58"/>
      <c r="E533" s="58"/>
      <c r="F533" s="58"/>
      <c r="G533" s="58"/>
    </row>
    <row r="534">
      <c r="B534" s="58"/>
      <c r="C534" s="58"/>
      <c r="D534" s="58"/>
      <c r="E534" s="58"/>
      <c r="F534" s="58"/>
      <c r="G534" s="58"/>
    </row>
    <row r="535">
      <c r="B535" s="58"/>
      <c r="C535" s="58"/>
      <c r="D535" s="58"/>
      <c r="E535" s="58"/>
      <c r="F535" s="58"/>
      <c r="G535" s="58"/>
    </row>
    <row r="536">
      <c r="B536" s="58"/>
      <c r="C536" s="58"/>
      <c r="D536" s="58"/>
      <c r="E536" s="58"/>
      <c r="F536" s="58"/>
      <c r="G536" s="58"/>
    </row>
    <row r="537">
      <c r="B537" s="58"/>
      <c r="C537" s="58"/>
      <c r="D537" s="58"/>
      <c r="E537" s="58"/>
      <c r="F537" s="58"/>
      <c r="G537" s="58"/>
    </row>
    <row r="538">
      <c r="B538" s="58"/>
      <c r="C538" s="58"/>
      <c r="D538" s="58"/>
      <c r="E538" s="58"/>
      <c r="F538" s="58"/>
      <c r="G538" s="58"/>
    </row>
    <row r="539">
      <c r="B539" s="58"/>
      <c r="C539" s="58"/>
      <c r="D539" s="58"/>
      <c r="E539" s="58"/>
      <c r="F539" s="58"/>
      <c r="G539" s="58"/>
    </row>
    <row r="540">
      <c r="B540" s="58"/>
      <c r="C540" s="58"/>
      <c r="D540" s="58"/>
      <c r="E540" s="58"/>
      <c r="F540" s="58"/>
      <c r="G540" s="58"/>
    </row>
    <row r="541">
      <c r="B541" s="58"/>
      <c r="C541" s="58"/>
      <c r="D541" s="58"/>
      <c r="E541" s="58"/>
      <c r="F541" s="58"/>
      <c r="G541" s="58"/>
    </row>
    <row r="542">
      <c r="B542" s="58"/>
      <c r="C542" s="58"/>
      <c r="D542" s="58"/>
      <c r="E542" s="58"/>
      <c r="F542" s="58"/>
      <c r="G542" s="58"/>
    </row>
    <row r="543">
      <c r="B543" s="58"/>
      <c r="C543" s="58"/>
      <c r="D543" s="58"/>
      <c r="E543" s="58"/>
      <c r="F543" s="58"/>
      <c r="G543" s="58"/>
    </row>
    <row r="544">
      <c r="B544" s="58"/>
      <c r="C544" s="58"/>
      <c r="D544" s="58"/>
      <c r="E544" s="58"/>
      <c r="F544" s="58"/>
      <c r="G544" s="58"/>
    </row>
    <row r="545">
      <c r="B545" s="58"/>
      <c r="C545" s="58"/>
      <c r="D545" s="58"/>
      <c r="E545" s="58"/>
      <c r="F545" s="58"/>
      <c r="G545" s="58"/>
    </row>
    <row r="546">
      <c r="B546" s="58"/>
      <c r="C546" s="58"/>
      <c r="D546" s="58"/>
      <c r="E546" s="58"/>
      <c r="F546" s="58"/>
      <c r="G546" s="58"/>
    </row>
    <row r="547">
      <c r="B547" s="58"/>
      <c r="C547" s="58"/>
      <c r="D547" s="58"/>
      <c r="E547" s="58"/>
      <c r="F547" s="58"/>
      <c r="G547" s="58"/>
    </row>
    <row r="548">
      <c r="B548" s="58"/>
      <c r="C548" s="58"/>
      <c r="D548" s="58"/>
      <c r="E548" s="58"/>
      <c r="F548" s="58"/>
      <c r="G548" s="58"/>
    </row>
    <row r="549">
      <c r="B549" s="58"/>
      <c r="C549" s="58"/>
      <c r="D549" s="58"/>
      <c r="E549" s="58"/>
      <c r="F549" s="58"/>
      <c r="G549" s="58"/>
    </row>
    <row r="550">
      <c r="B550" s="58"/>
      <c r="C550" s="58"/>
      <c r="D550" s="58"/>
      <c r="E550" s="58"/>
      <c r="F550" s="58"/>
      <c r="G550" s="58"/>
    </row>
    <row r="551">
      <c r="B551" s="58"/>
      <c r="C551" s="58"/>
      <c r="D551" s="58"/>
      <c r="E551" s="58"/>
      <c r="F551" s="58"/>
      <c r="G551" s="58"/>
    </row>
    <row r="552">
      <c r="B552" s="58"/>
      <c r="C552" s="58"/>
      <c r="D552" s="58"/>
      <c r="E552" s="58"/>
      <c r="F552" s="58"/>
      <c r="G552" s="58"/>
    </row>
    <row r="553">
      <c r="B553" s="58"/>
      <c r="C553" s="58"/>
      <c r="D553" s="58"/>
      <c r="E553" s="58"/>
      <c r="F553" s="58"/>
      <c r="G553" s="58"/>
    </row>
    <row r="554">
      <c r="B554" s="58"/>
      <c r="C554" s="58"/>
      <c r="D554" s="58"/>
      <c r="E554" s="58"/>
      <c r="F554" s="58"/>
      <c r="G554" s="58"/>
    </row>
    <row r="555">
      <c r="B555" s="58"/>
      <c r="C555" s="58"/>
      <c r="D555" s="58"/>
      <c r="E555" s="58"/>
      <c r="F555" s="58"/>
      <c r="G555" s="58"/>
    </row>
    <row r="556">
      <c r="B556" s="58"/>
      <c r="C556" s="58"/>
      <c r="D556" s="58"/>
      <c r="E556" s="58"/>
      <c r="F556" s="58"/>
      <c r="G556" s="58"/>
    </row>
    <row r="557">
      <c r="B557" s="58"/>
      <c r="C557" s="58"/>
      <c r="D557" s="58"/>
      <c r="E557" s="58"/>
      <c r="F557" s="58"/>
      <c r="G557" s="58"/>
    </row>
    <row r="558">
      <c r="B558" s="58"/>
      <c r="C558" s="58"/>
      <c r="D558" s="58"/>
      <c r="E558" s="58"/>
      <c r="F558" s="58"/>
      <c r="G558" s="58"/>
    </row>
    <row r="559">
      <c r="B559" s="58"/>
      <c r="C559" s="58"/>
      <c r="D559" s="58"/>
      <c r="E559" s="58"/>
      <c r="F559" s="58"/>
      <c r="G559" s="58"/>
    </row>
    <row r="560">
      <c r="B560" s="58"/>
      <c r="C560" s="58"/>
      <c r="D560" s="58"/>
      <c r="E560" s="58"/>
      <c r="F560" s="58"/>
      <c r="G560" s="58"/>
    </row>
    <row r="561">
      <c r="B561" s="58"/>
      <c r="C561" s="58"/>
      <c r="D561" s="58"/>
      <c r="E561" s="58"/>
      <c r="F561" s="58"/>
      <c r="G561" s="58"/>
    </row>
    <row r="562">
      <c r="B562" s="58"/>
      <c r="C562" s="58"/>
      <c r="D562" s="58"/>
      <c r="E562" s="58"/>
      <c r="F562" s="58"/>
      <c r="G562" s="58"/>
    </row>
    <row r="563">
      <c r="B563" s="58"/>
      <c r="C563" s="58"/>
      <c r="D563" s="58"/>
      <c r="E563" s="58"/>
      <c r="F563" s="58"/>
      <c r="G563" s="58"/>
    </row>
    <row r="564">
      <c r="B564" s="58"/>
      <c r="C564" s="58"/>
      <c r="D564" s="58"/>
      <c r="E564" s="58"/>
      <c r="F564" s="58"/>
      <c r="G564" s="58"/>
    </row>
    <row r="565">
      <c r="B565" s="58"/>
      <c r="C565" s="58"/>
      <c r="D565" s="58"/>
      <c r="E565" s="58"/>
      <c r="F565" s="58"/>
      <c r="G565" s="58"/>
    </row>
    <row r="566">
      <c r="B566" s="58"/>
      <c r="C566" s="58"/>
      <c r="D566" s="58"/>
      <c r="E566" s="58"/>
      <c r="F566" s="58"/>
      <c r="G566" s="58"/>
    </row>
    <row r="567">
      <c r="B567" s="58"/>
      <c r="C567" s="58"/>
      <c r="D567" s="58"/>
      <c r="E567" s="58"/>
      <c r="F567" s="58"/>
      <c r="G567" s="58"/>
    </row>
    <row r="568">
      <c r="B568" s="58"/>
      <c r="C568" s="58"/>
      <c r="D568" s="58"/>
      <c r="E568" s="58"/>
      <c r="F568" s="58"/>
      <c r="G568" s="58"/>
    </row>
    <row r="569">
      <c r="B569" s="58"/>
      <c r="C569" s="58"/>
      <c r="D569" s="58"/>
      <c r="E569" s="58"/>
      <c r="F569" s="58"/>
      <c r="G569" s="58"/>
    </row>
    <row r="570">
      <c r="B570" s="58"/>
      <c r="C570" s="58"/>
      <c r="D570" s="58"/>
      <c r="E570" s="58"/>
      <c r="F570" s="58"/>
      <c r="G570" s="58"/>
    </row>
    <row r="571">
      <c r="B571" s="58"/>
      <c r="C571" s="58"/>
      <c r="D571" s="58"/>
      <c r="E571" s="58"/>
      <c r="F571" s="58"/>
      <c r="G571" s="58"/>
    </row>
    <row r="572">
      <c r="B572" s="58"/>
      <c r="C572" s="58"/>
      <c r="D572" s="58"/>
      <c r="E572" s="58"/>
      <c r="F572" s="58"/>
      <c r="G572" s="58"/>
    </row>
    <row r="573">
      <c r="B573" s="58"/>
      <c r="C573" s="58"/>
      <c r="D573" s="58"/>
      <c r="E573" s="58"/>
      <c r="F573" s="58"/>
      <c r="G573" s="58"/>
    </row>
    <row r="574">
      <c r="B574" s="58"/>
      <c r="C574" s="58"/>
      <c r="D574" s="58"/>
      <c r="E574" s="58"/>
      <c r="F574" s="58"/>
      <c r="G574" s="58"/>
    </row>
    <row r="575">
      <c r="B575" s="58"/>
      <c r="C575" s="58"/>
      <c r="D575" s="58"/>
      <c r="E575" s="58"/>
      <c r="F575" s="58"/>
      <c r="G575" s="58"/>
    </row>
    <row r="576">
      <c r="B576" s="58"/>
      <c r="C576" s="58"/>
      <c r="D576" s="58"/>
      <c r="E576" s="58"/>
      <c r="F576" s="58"/>
      <c r="G576" s="58"/>
    </row>
    <row r="577">
      <c r="B577" s="58"/>
      <c r="C577" s="58"/>
      <c r="D577" s="58"/>
      <c r="E577" s="58"/>
      <c r="F577" s="58"/>
      <c r="G577" s="58"/>
    </row>
    <row r="578">
      <c r="B578" s="58"/>
      <c r="C578" s="58"/>
      <c r="D578" s="58"/>
      <c r="E578" s="58"/>
      <c r="F578" s="58"/>
      <c r="G578" s="58"/>
    </row>
    <row r="579">
      <c r="B579" s="58"/>
      <c r="C579" s="58"/>
      <c r="D579" s="58"/>
      <c r="E579" s="58"/>
      <c r="F579" s="58"/>
      <c r="G579" s="58"/>
    </row>
    <row r="580">
      <c r="B580" s="58"/>
      <c r="C580" s="58"/>
      <c r="D580" s="58"/>
      <c r="E580" s="58"/>
      <c r="F580" s="58"/>
      <c r="G580" s="58"/>
    </row>
    <row r="581">
      <c r="B581" s="58"/>
      <c r="C581" s="58"/>
      <c r="D581" s="58"/>
      <c r="E581" s="58"/>
      <c r="F581" s="58"/>
      <c r="G581" s="58"/>
    </row>
    <row r="582">
      <c r="B582" s="58"/>
      <c r="C582" s="58"/>
      <c r="D582" s="58"/>
      <c r="E582" s="58"/>
      <c r="F582" s="58"/>
      <c r="G582" s="58"/>
    </row>
    <row r="583">
      <c r="B583" s="58"/>
      <c r="C583" s="58"/>
      <c r="D583" s="58"/>
      <c r="E583" s="58"/>
      <c r="F583" s="58"/>
      <c r="G583" s="58"/>
    </row>
    <row r="584">
      <c r="B584" s="58"/>
      <c r="C584" s="58"/>
      <c r="D584" s="58"/>
      <c r="E584" s="58"/>
      <c r="F584" s="58"/>
      <c r="G584" s="58"/>
    </row>
    <row r="585">
      <c r="B585" s="58"/>
      <c r="C585" s="58"/>
      <c r="D585" s="58"/>
      <c r="E585" s="58"/>
      <c r="F585" s="58"/>
      <c r="G585" s="58"/>
    </row>
    <row r="586">
      <c r="B586" s="58"/>
      <c r="C586" s="58"/>
      <c r="D586" s="58"/>
      <c r="E586" s="58"/>
      <c r="F586" s="58"/>
      <c r="G586" s="58"/>
    </row>
    <row r="587">
      <c r="B587" s="58"/>
      <c r="C587" s="58"/>
      <c r="D587" s="58"/>
      <c r="E587" s="58"/>
      <c r="F587" s="58"/>
      <c r="G587" s="58"/>
    </row>
    <row r="588">
      <c r="B588" s="58"/>
      <c r="C588" s="58"/>
      <c r="D588" s="58"/>
      <c r="E588" s="58"/>
      <c r="F588" s="58"/>
      <c r="G588" s="58"/>
    </row>
    <row r="589">
      <c r="B589" s="58"/>
      <c r="C589" s="58"/>
      <c r="D589" s="58"/>
      <c r="E589" s="58"/>
      <c r="F589" s="58"/>
      <c r="G589" s="58"/>
    </row>
    <row r="590">
      <c r="B590" s="58"/>
      <c r="C590" s="58"/>
      <c r="D590" s="58"/>
      <c r="E590" s="58"/>
      <c r="F590" s="58"/>
      <c r="G590" s="58"/>
    </row>
    <row r="591">
      <c r="B591" s="58"/>
      <c r="C591" s="58"/>
      <c r="D591" s="58"/>
      <c r="E591" s="58"/>
      <c r="F591" s="58"/>
      <c r="G591" s="58"/>
    </row>
    <row r="592">
      <c r="B592" s="58"/>
      <c r="C592" s="58"/>
      <c r="D592" s="58"/>
      <c r="E592" s="58"/>
      <c r="F592" s="58"/>
      <c r="G592" s="58"/>
    </row>
    <row r="593">
      <c r="B593" s="58"/>
      <c r="C593" s="58"/>
      <c r="D593" s="58"/>
      <c r="E593" s="58"/>
      <c r="F593" s="58"/>
      <c r="G593" s="58"/>
    </row>
    <row r="594">
      <c r="B594" s="58"/>
      <c r="C594" s="58"/>
      <c r="D594" s="58"/>
      <c r="E594" s="58"/>
      <c r="F594" s="58"/>
      <c r="G594" s="58"/>
    </row>
    <row r="595">
      <c r="B595" s="58"/>
      <c r="C595" s="58"/>
      <c r="D595" s="58"/>
      <c r="E595" s="58"/>
      <c r="F595" s="58"/>
      <c r="G595" s="58"/>
    </row>
    <row r="596">
      <c r="B596" s="58"/>
      <c r="C596" s="58"/>
      <c r="D596" s="58"/>
      <c r="E596" s="58"/>
      <c r="F596" s="58"/>
      <c r="G596" s="58"/>
    </row>
    <row r="597">
      <c r="B597" s="58"/>
      <c r="C597" s="58"/>
      <c r="D597" s="58"/>
      <c r="E597" s="58"/>
      <c r="F597" s="58"/>
      <c r="G597" s="58"/>
    </row>
    <row r="598">
      <c r="B598" s="58"/>
      <c r="C598" s="58"/>
      <c r="D598" s="58"/>
      <c r="E598" s="58"/>
      <c r="F598" s="58"/>
      <c r="G598" s="58"/>
    </row>
    <row r="599">
      <c r="B599" s="58"/>
      <c r="C599" s="58"/>
      <c r="D599" s="58"/>
      <c r="E599" s="58"/>
      <c r="F599" s="58"/>
      <c r="G599" s="58"/>
    </row>
    <row r="600">
      <c r="B600" s="58"/>
      <c r="C600" s="58"/>
      <c r="D600" s="58"/>
      <c r="E600" s="58"/>
      <c r="F600" s="58"/>
      <c r="G600" s="58"/>
    </row>
    <row r="601">
      <c r="B601" s="58"/>
      <c r="C601" s="58"/>
      <c r="D601" s="58"/>
      <c r="E601" s="58"/>
      <c r="F601" s="58"/>
      <c r="G601" s="58"/>
    </row>
    <row r="602">
      <c r="B602" s="58"/>
      <c r="C602" s="58"/>
      <c r="D602" s="58"/>
      <c r="E602" s="58"/>
      <c r="F602" s="58"/>
      <c r="G602" s="58"/>
    </row>
    <row r="603">
      <c r="B603" s="58"/>
      <c r="C603" s="58"/>
      <c r="D603" s="58"/>
      <c r="E603" s="58"/>
      <c r="F603" s="58"/>
      <c r="G603" s="58"/>
    </row>
    <row r="604">
      <c r="B604" s="58"/>
      <c r="C604" s="58"/>
      <c r="D604" s="58"/>
      <c r="E604" s="58"/>
      <c r="F604" s="58"/>
      <c r="G604" s="58"/>
    </row>
    <row r="605">
      <c r="B605" s="58"/>
      <c r="C605" s="58"/>
      <c r="D605" s="58"/>
      <c r="E605" s="58"/>
      <c r="F605" s="58"/>
      <c r="G605" s="58"/>
    </row>
    <row r="606">
      <c r="B606" s="58"/>
      <c r="C606" s="58"/>
      <c r="D606" s="58"/>
      <c r="E606" s="58"/>
      <c r="F606" s="58"/>
      <c r="G606" s="58"/>
    </row>
    <row r="607">
      <c r="B607" s="58"/>
      <c r="C607" s="58"/>
      <c r="D607" s="58"/>
      <c r="E607" s="58"/>
      <c r="F607" s="58"/>
      <c r="G607" s="58"/>
    </row>
    <row r="608">
      <c r="B608" s="58"/>
      <c r="C608" s="58"/>
      <c r="D608" s="58"/>
      <c r="E608" s="58"/>
      <c r="F608" s="58"/>
      <c r="G608" s="58"/>
    </row>
    <row r="609">
      <c r="B609" s="58"/>
      <c r="C609" s="58"/>
      <c r="D609" s="58"/>
      <c r="E609" s="58"/>
      <c r="F609" s="58"/>
      <c r="G609" s="58"/>
    </row>
    <row r="610">
      <c r="B610" s="58"/>
      <c r="C610" s="58"/>
      <c r="D610" s="58"/>
      <c r="E610" s="58"/>
      <c r="F610" s="58"/>
      <c r="G610" s="58"/>
    </row>
    <row r="611">
      <c r="B611" s="58"/>
      <c r="C611" s="58"/>
      <c r="D611" s="58"/>
      <c r="E611" s="58"/>
      <c r="F611" s="58"/>
      <c r="G611" s="58"/>
    </row>
    <row r="612">
      <c r="B612" s="58"/>
      <c r="C612" s="58"/>
      <c r="D612" s="58"/>
      <c r="E612" s="58"/>
      <c r="F612" s="58"/>
      <c r="G612" s="58"/>
    </row>
    <row r="613">
      <c r="B613" s="58"/>
      <c r="C613" s="58"/>
      <c r="D613" s="58"/>
      <c r="E613" s="58"/>
      <c r="F613" s="58"/>
      <c r="G613" s="58"/>
    </row>
    <row r="614">
      <c r="B614" s="58"/>
      <c r="C614" s="58"/>
      <c r="D614" s="58"/>
      <c r="E614" s="58"/>
      <c r="F614" s="58"/>
      <c r="G614" s="58"/>
    </row>
    <row r="615">
      <c r="B615" s="58"/>
      <c r="C615" s="58"/>
      <c r="D615" s="58"/>
      <c r="E615" s="58"/>
      <c r="F615" s="58"/>
      <c r="G615" s="58"/>
    </row>
    <row r="616">
      <c r="B616" s="58"/>
      <c r="C616" s="58"/>
      <c r="D616" s="58"/>
      <c r="E616" s="58"/>
      <c r="F616" s="58"/>
      <c r="G616" s="58"/>
    </row>
    <row r="617">
      <c r="B617" s="58"/>
      <c r="C617" s="58"/>
      <c r="D617" s="58"/>
      <c r="E617" s="58"/>
      <c r="F617" s="58"/>
      <c r="G617" s="58"/>
    </row>
    <row r="618">
      <c r="B618" s="58"/>
      <c r="C618" s="58"/>
      <c r="D618" s="58"/>
      <c r="E618" s="58"/>
      <c r="F618" s="58"/>
      <c r="G618" s="58"/>
    </row>
    <row r="619">
      <c r="B619" s="58"/>
      <c r="C619" s="58"/>
      <c r="D619" s="58"/>
      <c r="E619" s="58"/>
      <c r="F619" s="58"/>
      <c r="G619" s="58"/>
    </row>
    <row r="620">
      <c r="B620" s="58"/>
      <c r="C620" s="58"/>
      <c r="D620" s="58"/>
      <c r="E620" s="58"/>
      <c r="F620" s="58"/>
      <c r="G620" s="58"/>
    </row>
    <row r="621">
      <c r="B621" s="58"/>
      <c r="C621" s="58"/>
      <c r="D621" s="58"/>
      <c r="E621" s="58"/>
      <c r="F621" s="58"/>
      <c r="G621" s="58"/>
    </row>
    <row r="622">
      <c r="B622" s="58"/>
      <c r="C622" s="58"/>
      <c r="D622" s="58"/>
      <c r="E622" s="58"/>
      <c r="F622" s="58"/>
      <c r="G622" s="58"/>
    </row>
    <row r="623">
      <c r="B623" s="58"/>
      <c r="C623" s="58"/>
      <c r="D623" s="58"/>
      <c r="E623" s="58"/>
      <c r="F623" s="58"/>
      <c r="G623" s="58"/>
    </row>
    <row r="624">
      <c r="B624" s="58"/>
      <c r="C624" s="58"/>
      <c r="D624" s="58"/>
      <c r="E624" s="58"/>
      <c r="F624" s="58"/>
      <c r="G624" s="58"/>
    </row>
    <row r="625">
      <c r="B625" s="58"/>
      <c r="C625" s="58"/>
      <c r="D625" s="58"/>
      <c r="E625" s="58"/>
      <c r="F625" s="58"/>
      <c r="G625" s="58"/>
    </row>
    <row r="626">
      <c r="B626" s="58"/>
      <c r="C626" s="58"/>
      <c r="D626" s="58"/>
      <c r="E626" s="58"/>
      <c r="F626" s="58"/>
      <c r="G626" s="58"/>
    </row>
    <row r="627">
      <c r="B627" s="58"/>
      <c r="C627" s="58"/>
      <c r="D627" s="58"/>
      <c r="E627" s="58"/>
      <c r="F627" s="58"/>
      <c r="G627" s="58"/>
    </row>
    <row r="628">
      <c r="B628" s="58"/>
      <c r="C628" s="58"/>
      <c r="D628" s="58"/>
      <c r="E628" s="58"/>
      <c r="F628" s="58"/>
      <c r="G628" s="58"/>
    </row>
    <row r="629">
      <c r="B629" s="58"/>
      <c r="C629" s="58"/>
      <c r="D629" s="58"/>
      <c r="E629" s="58"/>
      <c r="F629" s="58"/>
      <c r="G629" s="58"/>
    </row>
    <row r="630">
      <c r="B630" s="58"/>
      <c r="C630" s="58"/>
      <c r="D630" s="58"/>
      <c r="E630" s="58"/>
      <c r="F630" s="58"/>
      <c r="G630" s="58"/>
    </row>
    <row r="631">
      <c r="B631" s="58"/>
      <c r="C631" s="58"/>
      <c r="D631" s="58"/>
      <c r="E631" s="58"/>
      <c r="F631" s="58"/>
      <c r="G631" s="58"/>
    </row>
    <row r="632">
      <c r="B632" s="58"/>
      <c r="C632" s="58"/>
      <c r="D632" s="58"/>
      <c r="E632" s="58"/>
      <c r="F632" s="58"/>
      <c r="G632" s="58"/>
    </row>
    <row r="633">
      <c r="B633" s="58"/>
      <c r="C633" s="58"/>
      <c r="D633" s="58"/>
      <c r="E633" s="58"/>
      <c r="F633" s="58"/>
      <c r="G633" s="58"/>
    </row>
    <row r="634">
      <c r="B634" s="58"/>
      <c r="C634" s="58"/>
      <c r="D634" s="58"/>
      <c r="E634" s="58"/>
      <c r="F634" s="58"/>
      <c r="G634" s="58"/>
    </row>
    <row r="635">
      <c r="B635" s="58"/>
      <c r="C635" s="58"/>
      <c r="D635" s="58"/>
      <c r="E635" s="58"/>
      <c r="F635" s="58"/>
      <c r="G635" s="58"/>
    </row>
    <row r="636">
      <c r="B636" s="58"/>
      <c r="C636" s="58"/>
      <c r="D636" s="58"/>
      <c r="E636" s="58"/>
      <c r="F636" s="58"/>
      <c r="G636" s="58"/>
    </row>
    <row r="637">
      <c r="B637" s="58"/>
      <c r="C637" s="58"/>
      <c r="D637" s="58"/>
      <c r="E637" s="58"/>
      <c r="F637" s="58"/>
      <c r="G637" s="58"/>
    </row>
    <row r="638">
      <c r="B638" s="58"/>
      <c r="C638" s="58"/>
      <c r="D638" s="58"/>
      <c r="E638" s="58"/>
      <c r="F638" s="58"/>
      <c r="G638" s="58"/>
    </row>
    <row r="639">
      <c r="B639" s="58"/>
      <c r="C639" s="58"/>
      <c r="D639" s="58"/>
      <c r="E639" s="58"/>
      <c r="F639" s="58"/>
      <c r="G639" s="58"/>
    </row>
    <row r="640">
      <c r="B640" s="58"/>
      <c r="C640" s="58"/>
      <c r="D640" s="58"/>
      <c r="E640" s="58"/>
      <c r="F640" s="58"/>
      <c r="G640" s="58"/>
    </row>
    <row r="641">
      <c r="B641" s="58"/>
      <c r="C641" s="58"/>
      <c r="D641" s="58"/>
      <c r="E641" s="58"/>
      <c r="F641" s="58"/>
      <c r="G641" s="58"/>
    </row>
    <row r="642">
      <c r="B642" s="58"/>
      <c r="C642" s="58"/>
      <c r="D642" s="58"/>
      <c r="E642" s="58"/>
      <c r="F642" s="58"/>
      <c r="G642" s="58"/>
    </row>
    <row r="643">
      <c r="B643" s="58"/>
      <c r="C643" s="58"/>
      <c r="D643" s="58"/>
      <c r="E643" s="58"/>
      <c r="F643" s="58"/>
      <c r="G643" s="58"/>
    </row>
    <row r="644">
      <c r="B644" s="58"/>
      <c r="C644" s="58"/>
      <c r="D644" s="58"/>
      <c r="E644" s="58"/>
      <c r="F644" s="58"/>
      <c r="G644" s="58"/>
    </row>
    <row r="645">
      <c r="B645" s="58"/>
      <c r="C645" s="58"/>
      <c r="D645" s="58"/>
      <c r="E645" s="58"/>
      <c r="F645" s="58"/>
      <c r="G645" s="58"/>
    </row>
    <row r="646">
      <c r="B646" s="58"/>
      <c r="C646" s="58"/>
      <c r="D646" s="58"/>
      <c r="E646" s="58"/>
      <c r="F646" s="58"/>
      <c r="G646" s="58"/>
    </row>
    <row r="647">
      <c r="B647" s="58"/>
      <c r="C647" s="58"/>
      <c r="D647" s="58"/>
      <c r="E647" s="58"/>
      <c r="F647" s="58"/>
      <c r="G647" s="58"/>
    </row>
    <row r="648">
      <c r="B648" s="58"/>
      <c r="C648" s="58"/>
      <c r="D648" s="58"/>
      <c r="E648" s="58"/>
      <c r="F648" s="58"/>
      <c r="G648" s="58"/>
    </row>
    <row r="649">
      <c r="B649" s="58"/>
      <c r="C649" s="58"/>
      <c r="D649" s="58"/>
      <c r="E649" s="58"/>
      <c r="F649" s="58"/>
      <c r="G649" s="58"/>
    </row>
    <row r="650">
      <c r="B650" s="58"/>
      <c r="C650" s="58"/>
      <c r="D650" s="58"/>
      <c r="E650" s="58"/>
      <c r="F650" s="58"/>
      <c r="G650" s="58"/>
    </row>
    <row r="651">
      <c r="B651" s="58"/>
      <c r="C651" s="58"/>
      <c r="D651" s="58"/>
      <c r="E651" s="58"/>
      <c r="F651" s="58"/>
      <c r="G651" s="58"/>
    </row>
    <row r="652">
      <c r="B652" s="58"/>
      <c r="C652" s="58"/>
      <c r="D652" s="58"/>
      <c r="E652" s="58"/>
      <c r="F652" s="58"/>
      <c r="G652" s="58"/>
    </row>
    <row r="653">
      <c r="B653" s="58"/>
      <c r="C653" s="58"/>
      <c r="D653" s="58"/>
      <c r="E653" s="58"/>
      <c r="F653" s="58"/>
      <c r="G653" s="58"/>
    </row>
    <row r="654">
      <c r="B654" s="58"/>
      <c r="C654" s="58"/>
      <c r="D654" s="58"/>
      <c r="E654" s="58"/>
      <c r="F654" s="58"/>
      <c r="G654" s="58"/>
    </row>
    <row r="655">
      <c r="B655" s="58"/>
      <c r="C655" s="58"/>
      <c r="D655" s="58"/>
      <c r="E655" s="58"/>
      <c r="F655" s="58"/>
      <c r="G655" s="58"/>
    </row>
    <row r="656">
      <c r="B656" s="58"/>
      <c r="C656" s="58"/>
      <c r="D656" s="58"/>
      <c r="E656" s="58"/>
      <c r="F656" s="58"/>
      <c r="G656" s="58"/>
    </row>
    <row r="657">
      <c r="B657" s="58"/>
      <c r="C657" s="58"/>
      <c r="D657" s="58"/>
      <c r="E657" s="58"/>
      <c r="F657" s="58"/>
      <c r="G657" s="58"/>
    </row>
    <row r="658">
      <c r="B658" s="58"/>
      <c r="C658" s="58"/>
      <c r="D658" s="58"/>
      <c r="E658" s="58"/>
      <c r="F658" s="58"/>
      <c r="G658" s="58"/>
    </row>
    <row r="659">
      <c r="B659" s="58"/>
      <c r="C659" s="58"/>
      <c r="D659" s="58"/>
      <c r="E659" s="58"/>
      <c r="F659" s="58"/>
      <c r="G659" s="58"/>
    </row>
    <row r="660">
      <c r="B660" s="58"/>
      <c r="C660" s="58"/>
      <c r="D660" s="58"/>
      <c r="E660" s="58"/>
      <c r="F660" s="58"/>
      <c r="G660" s="58"/>
    </row>
    <row r="661">
      <c r="B661" s="58"/>
      <c r="C661" s="58"/>
      <c r="D661" s="58"/>
      <c r="E661" s="58"/>
      <c r="F661" s="58"/>
      <c r="G661" s="58"/>
    </row>
    <row r="662">
      <c r="B662" s="58"/>
      <c r="C662" s="58"/>
      <c r="D662" s="58"/>
      <c r="E662" s="58"/>
      <c r="F662" s="58"/>
      <c r="G662" s="58"/>
    </row>
    <row r="663">
      <c r="B663" s="58"/>
      <c r="C663" s="58"/>
      <c r="D663" s="58"/>
      <c r="E663" s="58"/>
      <c r="F663" s="58"/>
      <c r="G663" s="58"/>
    </row>
    <row r="664">
      <c r="B664" s="58"/>
      <c r="C664" s="58"/>
      <c r="D664" s="58"/>
      <c r="E664" s="58"/>
      <c r="F664" s="58"/>
      <c r="G664" s="58"/>
    </row>
    <row r="665">
      <c r="B665" s="58"/>
      <c r="C665" s="58"/>
      <c r="D665" s="58"/>
      <c r="E665" s="58"/>
      <c r="F665" s="58"/>
      <c r="G665" s="58"/>
    </row>
    <row r="666">
      <c r="B666" s="58"/>
      <c r="C666" s="58"/>
      <c r="D666" s="58"/>
      <c r="E666" s="58"/>
      <c r="F666" s="58"/>
      <c r="G666" s="58"/>
    </row>
    <row r="667">
      <c r="B667" s="58"/>
      <c r="C667" s="58"/>
      <c r="D667" s="58"/>
      <c r="E667" s="58"/>
      <c r="F667" s="58"/>
      <c r="G667" s="58"/>
    </row>
    <row r="668">
      <c r="B668" s="58"/>
      <c r="C668" s="58"/>
      <c r="D668" s="58"/>
      <c r="E668" s="58"/>
      <c r="F668" s="58"/>
      <c r="G668" s="58"/>
    </row>
    <row r="669">
      <c r="B669" s="58"/>
      <c r="C669" s="58"/>
      <c r="D669" s="58"/>
      <c r="E669" s="58"/>
      <c r="F669" s="58"/>
      <c r="G669" s="58"/>
    </row>
    <row r="670">
      <c r="B670" s="58"/>
      <c r="C670" s="58"/>
      <c r="D670" s="58"/>
      <c r="E670" s="58"/>
      <c r="F670" s="58"/>
      <c r="G670" s="58"/>
    </row>
    <row r="671">
      <c r="B671" s="58"/>
      <c r="C671" s="58"/>
      <c r="D671" s="58"/>
      <c r="E671" s="58"/>
      <c r="F671" s="58"/>
      <c r="G671" s="58"/>
    </row>
    <row r="672">
      <c r="B672" s="58"/>
      <c r="C672" s="58"/>
      <c r="D672" s="58"/>
      <c r="E672" s="58"/>
      <c r="F672" s="58"/>
      <c r="G672" s="58"/>
    </row>
    <row r="673">
      <c r="B673" s="58"/>
      <c r="C673" s="58"/>
      <c r="D673" s="58"/>
      <c r="E673" s="58"/>
      <c r="F673" s="58"/>
      <c r="G673" s="58"/>
    </row>
    <row r="674">
      <c r="B674" s="58"/>
      <c r="C674" s="58"/>
      <c r="D674" s="58"/>
      <c r="E674" s="58"/>
      <c r="F674" s="58"/>
      <c r="G674" s="58"/>
    </row>
    <row r="675">
      <c r="B675" s="58"/>
      <c r="C675" s="58"/>
      <c r="D675" s="58"/>
      <c r="E675" s="58"/>
      <c r="F675" s="58"/>
      <c r="G675" s="58"/>
    </row>
    <row r="676">
      <c r="B676" s="58"/>
      <c r="C676" s="58"/>
      <c r="D676" s="58"/>
      <c r="E676" s="58"/>
      <c r="F676" s="58"/>
      <c r="G676" s="58"/>
    </row>
    <row r="677">
      <c r="B677" s="58"/>
      <c r="C677" s="58"/>
      <c r="D677" s="58"/>
      <c r="E677" s="58"/>
      <c r="F677" s="58"/>
      <c r="G677" s="58"/>
    </row>
    <row r="678">
      <c r="B678" s="58"/>
      <c r="C678" s="58"/>
      <c r="D678" s="58"/>
      <c r="E678" s="58"/>
      <c r="F678" s="58"/>
      <c r="G678" s="58"/>
    </row>
    <row r="679">
      <c r="B679" s="58"/>
      <c r="C679" s="58"/>
      <c r="D679" s="58"/>
      <c r="E679" s="58"/>
      <c r="F679" s="58"/>
      <c r="G679" s="58"/>
    </row>
    <row r="680">
      <c r="B680" s="58"/>
      <c r="C680" s="58"/>
      <c r="D680" s="58"/>
      <c r="E680" s="58"/>
      <c r="F680" s="58"/>
      <c r="G680" s="58"/>
    </row>
    <row r="681">
      <c r="B681" s="58"/>
      <c r="C681" s="58"/>
      <c r="D681" s="58"/>
      <c r="E681" s="58"/>
      <c r="F681" s="58"/>
      <c r="G681" s="58"/>
    </row>
    <row r="682">
      <c r="B682" s="58"/>
      <c r="C682" s="58"/>
      <c r="D682" s="58"/>
      <c r="E682" s="58"/>
      <c r="F682" s="58"/>
      <c r="G682" s="58"/>
    </row>
    <row r="683">
      <c r="B683" s="58"/>
      <c r="C683" s="58"/>
      <c r="D683" s="58"/>
      <c r="E683" s="58"/>
      <c r="F683" s="58"/>
      <c r="G683" s="58"/>
    </row>
    <row r="684">
      <c r="B684" s="58"/>
      <c r="C684" s="58"/>
      <c r="D684" s="58"/>
      <c r="E684" s="58"/>
      <c r="F684" s="58"/>
      <c r="G684" s="58"/>
    </row>
    <row r="685">
      <c r="B685" s="58"/>
      <c r="C685" s="58"/>
      <c r="D685" s="58"/>
      <c r="E685" s="58"/>
      <c r="F685" s="58"/>
      <c r="G685" s="58"/>
    </row>
    <row r="686">
      <c r="B686" s="58"/>
      <c r="C686" s="58"/>
      <c r="D686" s="58"/>
      <c r="E686" s="58"/>
      <c r="F686" s="58"/>
      <c r="G686" s="58"/>
    </row>
    <row r="687">
      <c r="B687" s="58"/>
      <c r="C687" s="58"/>
      <c r="D687" s="58"/>
      <c r="E687" s="58"/>
      <c r="F687" s="58"/>
      <c r="G687" s="58"/>
    </row>
    <row r="688">
      <c r="B688" s="58"/>
      <c r="C688" s="58"/>
      <c r="D688" s="58"/>
      <c r="E688" s="58"/>
      <c r="F688" s="58"/>
      <c r="G688" s="58"/>
    </row>
    <row r="689">
      <c r="B689" s="58"/>
      <c r="C689" s="58"/>
      <c r="D689" s="58"/>
      <c r="E689" s="58"/>
      <c r="F689" s="58"/>
      <c r="G689" s="58"/>
    </row>
    <row r="690">
      <c r="B690" s="58"/>
      <c r="C690" s="58"/>
      <c r="D690" s="58"/>
      <c r="E690" s="58"/>
      <c r="F690" s="58"/>
      <c r="G690" s="58"/>
    </row>
    <row r="691">
      <c r="B691" s="58"/>
      <c r="C691" s="58"/>
      <c r="D691" s="58"/>
      <c r="E691" s="58"/>
      <c r="F691" s="58"/>
      <c r="G691" s="58"/>
    </row>
    <row r="692">
      <c r="B692" s="58"/>
      <c r="C692" s="58"/>
      <c r="D692" s="58"/>
      <c r="E692" s="58"/>
      <c r="F692" s="58"/>
      <c r="G692" s="58"/>
    </row>
    <row r="693">
      <c r="B693" s="58"/>
      <c r="C693" s="58"/>
      <c r="D693" s="58"/>
      <c r="E693" s="58"/>
      <c r="F693" s="58"/>
      <c r="G693" s="58"/>
    </row>
    <row r="694">
      <c r="B694" s="58"/>
      <c r="C694" s="58"/>
      <c r="D694" s="58"/>
      <c r="E694" s="58"/>
      <c r="F694" s="58"/>
      <c r="G694" s="58"/>
    </row>
    <row r="695">
      <c r="B695" s="58"/>
      <c r="C695" s="58"/>
      <c r="D695" s="58"/>
      <c r="E695" s="58"/>
      <c r="F695" s="58"/>
      <c r="G695" s="58"/>
    </row>
    <row r="696">
      <c r="B696" s="58"/>
      <c r="C696" s="58"/>
      <c r="D696" s="58"/>
      <c r="E696" s="58"/>
      <c r="F696" s="58"/>
      <c r="G696" s="58"/>
    </row>
    <row r="697">
      <c r="B697" s="58"/>
      <c r="C697" s="58"/>
      <c r="D697" s="58"/>
      <c r="E697" s="58"/>
      <c r="F697" s="58"/>
      <c r="G697" s="58"/>
    </row>
    <row r="698">
      <c r="B698" s="58"/>
      <c r="C698" s="58"/>
      <c r="D698" s="58"/>
      <c r="E698" s="58"/>
      <c r="F698" s="58"/>
      <c r="G698" s="58"/>
    </row>
    <row r="699">
      <c r="B699" s="58"/>
      <c r="C699" s="58"/>
      <c r="D699" s="58"/>
      <c r="E699" s="58"/>
      <c r="F699" s="58"/>
      <c r="G699" s="58"/>
    </row>
    <row r="700">
      <c r="B700" s="58"/>
      <c r="C700" s="58"/>
      <c r="D700" s="58"/>
      <c r="E700" s="58"/>
      <c r="F700" s="58"/>
      <c r="G700" s="58"/>
    </row>
    <row r="701">
      <c r="B701" s="58"/>
      <c r="C701" s="58"/>
      <c r="D701" s="58"/>
      <c r="E701" s="58"/>
      <c r="F701" s="58"/>
      <c r="G701" s="58"/>
    </row>
    <row r="702">
      <c r="B702" s="58"/>
      <c r="C702" s="58"/>
      <c r="D702" s="58"/>
      <c r="E702" s="58"/>
      <c r="F702" s="58"/>
      <c r="G702" s="58"/>
    </row>
    <row r="703">
      <c r="B703" s="58"/>
      <c r="C703" s="58"/>
      <c r="D703" s="58"/>
      <c r="E703" s="58"/>
      <c r="F703" s="58"/>
      <c r="G703" s="58"/>
    </row>
    <row r="704">
      <c r="B704" s="58"/>
      <c r="C704" s="58"/>
      <c r="D704" s="58"/>
      <c r="E704" s="58"/>
      <c r="F704" s="58"/>
      <c r="G704" s="58"/>
    </row>
    <row r="705">
      <c r="B705" s="58"/>
      <c r="C705" s="58"/>
      <c r="D705" s="58"/>
      <c r="E705" s="58"/>
      <c r="F705" s="58"/>
      <c r="G705" s="58"/>
    </row>
    <row r="706">
      <c r="B706" s="58"/>
      <c r="C706" s="58"/>
      <c r="D706" s="58"/>
      <c r="E706" s="58"/>
      <c r="F706" s="58"/>
      <c r="G706" s="58"/>
    </row>
    <row r="707">
      <c r="B707" s="58"/>
      <c r="C707" s="58"/>
      <c r="D707" s="58"/>
      <c r="E707" s="58"/>
      <c r="F707" s="58"/>
      <c r="G707" s="58"/>
    </row>
    <row r="708">
      <c r="B708" s="58"/>
      <c r="C708" s="58"/>
      <c r="D708" s="58"/>
      <c r="E708" s="58"/>
      <c r="F708" s="58"/>
      <c r="G708" s="58"/>
    </row>
    <row r="709">
      <c r="B709" s="58"/>
      <c r="C709" s="58"/>
      <c r="D709" s="58"/>
      <c r="E709" s="58"/>
      <c r="F709" s="58"/>
      <c r="G709" s="58"/>
    </row>
    <row r="710">
      <c r="B710" s="58"/>
      <c r="C710" s="58"/>
      <c r="D710" s="58"/>
      <c r="E710" s="58"/>
      <c r="F710" s="58"/>
      <c r="G710" s="58"/>
    </row>
    <row r="711">
      <c r="B711" s="58"/>
      <c r="C711" s="58"/>
      <c r="D711" s="58"/>
      <c r="E711" s="58"/>
      <c r="F711" s="58"/>
      <c r="G711" s="58"/>
    </row>
    <row r="712">
      <c r="B712" s="58"/>
      <c r="C712" s="58"/>
      <c r="D712" s="58"/>
      <c r="E712" s="58"/>
      <c r="F712" s="58"/>
      <c r="G712" s="58"/>
    </row>
    <row r="713">
      <c r="B713" s="58"/>
      <c r="C713" s="58"/>
      <c r="D713" s="58"/>
      <c r="E713" s="58"/>
      <c r="F713" s="58"/>
      <c r="G713" s="58"/>
    </row>
    <row r="714">
      <c r="B714" s="58"/>
      <c r="C714" s="58"/>
      <c r="D714" s="58"/>
      <c r="E714" s="58"/>
      <c r="F714" s="58"/>
      <c r="G714" s="58"/>
    </row>
    <row r="715">
      <c r="B715" s="58"/>
      <c r="C715" s="58"/>
      <c r="D715" s="58"/>
      <c r="E715" s="58"/>
      <c r="F715" s="58"/>
      <c r="G715" s="58"/>
    </row>
    <row r="716">
      <c r="B716" s="58"/>
      <c r="C716" s="58"/>
      <c r="D716" s="58"/>
      <c r="E716" s="58"/>
      <c r="F716" s="58"/>
      <c r="G716" s="58"/>
    </row>
    <row r="717">
      <c r="B717" s="58"/>
      <c r="C717" s="58"/>
      <c r="D717" s="58"/>
      <c r="E717" s="58"/>
      <c r="F717" s="58"/>
      <c r="G717" s="58"/>
    </row>
    <row r="718">
      <c r="B718" s="58"/>
      <c r="C718" s="58"/>
      <c r="D718" s="58"/>
      <c r="E718" s="58"/>
      <c r="F718" s="58"/>
      <c r="G718" s="58"/>
    </row>
    <row r="719">
      <c r="B719" s="58"/>
      <c r="C719" s="58"/>
      <c r="D719" s="58"/>
      <c r="E719" s="58"/>
      <c r="F719" s="58"/>
      <c r="G719" s="58"/>
    </row>
    <row r="720">
      <c r="B720" s="58"/>
      <c r="C720" s="58"/>
      <c r="D720" s="58"/>
      <c r="E720" s="58"/>
      <c r="F720" s="58"/>
      <c r="G720" s="58"/>
    </row>
    <row r="721">
      <c r="B721" s="58"/>
      <c r="C721" s="58"/>
      <c r="D721" s="58"/>
      <c r="E721" s="58"/>
      <c r="F721" s="58"/>
      <c r="G721" s="58"/>
    </row>
    <row r="722">
      <c r="B722" s="58"/>
      <c r="C722" s="58"/>
      <c r="D722" s="58"/>
      <c r="E722" s="58"/>
      <c r="F722" s="58"/>
      <c r="G722" s="58"/>
    </row>
    <row r="723">
      <c r="B723" s="58"/>
      <c r="C723" s="58"/>
      <c r="D723" s="58"/>
      <c r="E723" s="58"/>
      <c r="F723" s="58"/>
      <c r="G723" s="58"/>
    </row>
    <row r="724">
      <c r="B724" s="58"/>
      <c r="C724" s="58"/>
      <c r="D724" s="58"/>
      <c r="E724" s="58"/>
      <c r="F724" s="58"/>
      <c r="G724" s="58"/>
    </row>
    <row r="725">
      <c r="B725" s="58"/>
      <c r="C725" s="58"/>
      <c r="D725" s="58"/>
      <c r="E725" s="58"/>
      <c r="F725" s="58"/>
      <c r="G725" s="58"/>
    </row>
    <row r="726">
      <c r="B726" s="58"/>
      <c r="C726" s="58"/>
      <c r="D726" s="58"/>
      <c r="E726" s="58"/>
      <c r="F726" s="58"/>
      <c r="G726" s="58"/>
    </row>
    <row r="727">
      <c r="B727" s="58"/>
      <c r="C727" s="58"/>
      <c r="D727" s="58"/>
      <c r="E727" s="58"/>
      <c r="F727" s="58"/>
      <c r="G727" s="58"/>
    </row>
    <row r="728">
      <c r="B728" s="58"/>
      <c r="C728" s="58"/>
      <c r="D728" s="58"/>
      <c r="E728" s="58"/>
      <c r="F728" s="58"/>
      <c r="G728" s="58"/>
    </row>
    <row r="729">
      <c r="B729" s="58"/>
      <c r="C729" s="58"/>
      <c r="D729" s="58"/>
      <c r="E729" s="58"/>
      <c r="F729" s="58"/>
      <c r="G729" s="58"/>
    </row>
    <row r="730">
      <c r="B730" s="58"/>
      <c r="C730" s="58"/>
      <c r="D730" s="58"/>
      <c r="E730" s="58"/>
      <c r="F730" s="58"/>
      <c r="G730" s="58"/>
    </row>
    <row r="731">
      <c r="B731" s="58"/>
      <c r="C731" s="58"/>
      <c r="D731" s="58"/>
      <c r="E731" s="58"/>
      <c r="F731" s="58"/>
      <c r="G731" s="58"/>
    </row>
    <row r="732">
      <c r="B732" s="58"/>
      <c r="C732" s="58"/>
      <c r="D732" s="58"/>
      <c r="E732" s="58"/>
      <c r="F732" s="58"/>
      <c r="G732" s="58"/>
    </row>
    <row r="733">
      <c r="B733" s="58"/>
      <c r="C733" s="58"/>
      <c r="D733" s="58"/>
      <c r="E733" s="58"/>
      <c r="F733" s="58"/>
      <c r="G733" s="58"/>
    </row>
    <row r="734">
      <c r="B734" s="58"/>
      <c r="C734" s="58"/>
      <c r="D734" s="58"/>
      <c r="E734" s="58"/>
      <c r="F734" s="58"/>
      <c r="G734" s="58"/>
    </row>
    <row r="735">
      <c r="B735" s="58"/>
      <c r="C735" s="58"/>
      <c r="D735" s="58"/>
      <c r="E735" s="58"/>
      <c r="F735" s="58"/>
      <c r="G735" s="58"/>
    </row>
    <row r="736">
      <c r="B736" s="58"/>
      <c r="C736" s="58"/>
      <c r="D736" s="58"/>
      <c r="E736" s="58"/>
      <c r="F736" s="58"/>
      <c r="G736" s="58"/>
    </row>
    <row r="737">
      <c r="B737" s="58"/>
      <c r="C737" s="58"/>
      <c r="D737" s="58"/>
      <c r="E737" s="58"/>
      <c r="F737" s="58"/>
      <c r="G737" s="58"/>
    </row>
    <row r="738">
      <c r="B738" s="58"/>
      <c r="C738" s="58"/>
      <c r="D738" s="58"/>
      <c r="E738" s="58"/>
      <c r="F738" s="58"/>
      <c r="G738" s="58"/>
    </row>
    <row r="739">
      <c r="B739" s="58"/>
      <c r="C739" s="58"/>
      <c r="D739" s="58"/>
      <c r="E739" s="58"/>
      <c r="F739" s="58"/>
      <c r="G739" s="58"/>
    </row>
    <row r="740">
      <c r="B740" s="58"/>
      <c r="C740" s="58"/>
      <c r="D740" s="58"/>
      <c r="E740" s="58"/>
      <c r="F740" s="58"/>
      <c r="G740" s="58"/>
    </row>
    <row r="741">
      <c r="B741" s="58"/>
      <c r="C741" s="58"/>
      <c r="D741" s="58"/>
      <c r="E741" s="58"/>
      <c r="F741" s="58"/>
      <c r="G741" s="58"/>
    </row>
    <row r="742">
      <c r="B742" s="58"/>
      <c r="C742" s="58"/>
      <c r="D742" s="58"/>
      <c r="E742" s="58"/>
      <c r="F742" s="58"/>
      <c r="G742" s="58"/>
    </row>
    <row r="743">
      <c r="B743" s="58"/>
      <c r="C743" s="58"/>
      <c r="D743" s="58"/>
      <c r="E743" s="58"/>
      <c r="F743" s="58"/>
      <c r="G743" s="58"/>
    </row>
    <row r="744">
      <c r="B744" s="58"/>
      <c r="C744" s="58"/>
      <c r="D744" s="58"/>
      <c r="E744" s="58"/>
      <c r="F744" s="58"/>
      <c r="G744" s="58"/>
    </row>
    <row r="745">
      <c r="B745" s="58"/>
      <c r="C745" s="58"/>
      <c r="D745" s="58"/>
      <c r="E745" s="58"/>
      <c r="F745" s="58"/>
      <c r="G745" s="58"/>
    </row>
    <row r="746">
      <c r="B746" s="58"/>
      <c r="C746" s="58"/>
      <c r="D746" s="58"/>
      <c r="E746" s="58"/>
      <c r="F746" s="58"/>
      <c r="G746" s="58"/>
    </row>
    <row r="747">
      <c r="B747" s="58"/>
      <c r="C747" s="58"/>
      <c r="D747" s="58"/>
      <c r="E747" s="58"/>
      <c r="F747" s="58"/>
      <c r="G747" s="58"/>
    </row>
    <row r="748">
      <c r="B748" s="58"/>
      <c r="C748" s="58"/>
      <c r="D748" s="58"/>
      <c r="E748" s="58"/>
      <c r="F748" s="58"/>
      <c r="G748" s="58"/>
    </row>
    <row r="749">
      <c r="B749" s="58"/>
      <c r="C749" s="58"/>
      <c r="D749" s="58"/>
      <c r="E749" s="58"/>
      <c r="F749" s="58"/>
      <c r="G749" s="58"/>
    </row>
    <row r="750">
      <c r="B750" s="58"/>
      <c r="C750" s="58"/>
      <c r="D750" s="58"/>
      <c r="E750" s="58"/>
      <c r="F750" s="58"/>
      <c r="G750" s="58"/>
    </row>
    <row r="751">
      <c r="B751" s="58"/>
      <c r="C751" s="58"/>
      <c r="D751" s="58"/>
      <c r="E751" s="58"/>
      <c r="F751" s="58"/>
      <c r="G751" s="58"/>
    </row>
    <row r="752">
      <c r="B752" s="58"/>
      <c r="C752" s="58"/>
      <c r="D752" s="58"/>
      <c r="E752" s="58"/>
      <c r="F752" s="58"/>
      <c r="G752" s="58"/>
    </row>
    <row r="753">
      <c r="B753" s="58"/>
      <c r="C753" s="58"/>
      <c r="D753" s="58"/>
      <c r="E753" s="58"/>
      <c r="F753" s="58"/>
      <c r="G753" s="58"/>
    </row>
    <row r="754">
      <c r="B754" s="58"/>
      <c r="C754" s="58"/>
      <c r="D754" s="58"/>
      <c r="E754" s="58"/>
      <c r="F754" s="58"/>
      <c r="G754" s="58"/>
    </row>
    <row r="755">
      <c r="B755" s="58"/>
      <c r="C755" s="58"/>
      <c r="D755" s="58"/>
      <c r="E755" s="58"/>
      <c r="F755" s="58"/>
      <c r="G755" s="58"/>
    </row>
    <row r="756">
      <c r="B756" s="58"/>
      <c r="C756" s="58"/>
      <c r="D756" s="58"/>
      <c r="E756" s="58"/>
      <c r="F756" s="58"/>
      <c r="G756" s="58"/>
    </row>
    <row r="757">
      <c r="B757" s="58"/>
      <c r="C757" s="58"/>
      <c r="D757" s="58"/>
      <c r="E757" s="58"/>
      <c r="F757" s="58"/>
      <c r="G757" s="58"/>
    </row>
    <row r="758">
      <c r="B758" s="58"/>
      <c r="C758" s="58"/>
      <c r="D758" s="58"/>
      <c r="E758" s="58"/>
      <c r="F758" s="58"/>
      <c r="G758" s="58"/>
    </row>
    <row r="759">
      <c r="B759" s="58"/>
      <c r="C759" s="58"/>
      <c r="D759" s="58"/>
      <c r="E759" s="58"/>
      <c r="F759" s="58"/>
      <c r="G759" s="58"/>
    </row>
    <row r="760">
      <c r="B760" s="58"/>
      <c r="C760" s="58"/>
      <c r="D760" s="58"/>
      <c r="E760" s="58"/>
      <c r="F760" s="58"/>
      <c r="G760" s="58"/>
    </row>
    <row r="761">
      <c r="B761" s="58"/>
      <c r="C761" s="58"/>
      <c r="D761" s="58"/>
      <c r="E761" s="58"/>
      <c r="F761" s="58"/>
      <c r="G761" s="58"/>
    </row>
    <row r="762">
      <c r="B762" s="58"/>
      <c r="C762" s="58"/>
      <c r="D762" s="58"/>
      <c r="E762" s="58"/>
      <c r="F762" s="58"/>
      <c r="G762" s="58"/>
    </row>
    <row r="763">
      <c r="B763" s="58"/>
      <c r="C763" s="58"/>
      <c r="D763" s="58"/>
      <c r="E763" s="58"/>
      <c r="F763" s="58"/>
      <c r="G763" s="58"/>
    </row>
    <row r="764">
      <c r="B764" s="58"/>
      <c r="C764" s="58"/>
      <c r="D764" s="58"/>
      <c r="E764" s="58"/>
      <c r="F764" s="58"/>
      <c r="G764" s="58"/>
    </row>
    <row r="765">
      <c r="B765" s="58"/>
      <c r="C765" s="58"/>
      <c r="D765" s="58"/>
      <c r="E765" s="58"/>
      <c r="F765" s="58"/>
      <c r="G765" s="58"/>
    </row>
    <row r="766">
      <c r="B766" s="58"/>
      <c r="C766" s="58"/>
      <c r="D766" s="58"/>
      <c r="E766" s="58"/>
      <c r="F766" s="58"/>
      <c r="G766" s="58"/>
    </row>
    <row r="767">
      <c r="B767" s="58"/>
      <c r="C767" s="58"/>
      <c r="D767" s="58"/>
      <c r="E767" s="58"/>
      <c r="F767" s="58"/>
      <c r="G767" s="58"/>
    </row>
    <row r="768">
      <c r="B768" s="58"/>
      <c r="C768" s="58"/>
      <c r="D768" s="58"/>
      <c r="E768" s="58"/>
      <c r="F768" s="58"/>
      <c r="G768" s="58"/>
    </row>
    <row r="769">
      <c r="B769" s="58"/>
      <c r="C769" s="58"/>
      <c r="D769" s="58"/>
      <c r="E769" s="58"/>
      <c r="F769" s="58"/>
      <c r="G769" s="58"/>
    </row>
    <row r="770">
      <c r="B770" s="58"/>
      <c r="C770" s="58"/>
      <c r="D770" s="58"/>
      <c r="E770" s="58"/>
      <c r="F770" s="58"/>
      <c r="G770" s="58"/>
    </row>
    <row r="771">
      <c r="B771" s="58"/>
      <c r="C771" s="58"/>
      <c r="D771" s="58"/>
      <c r="E771" s="58"/>
      <c r="F771" s="58"/>
      <c r="G771" s="58"/>
    </row>
    <row r="772">
      <c r="B772" s="58"/>
      <c r="C772" s="58"/>
      <c r="D772" s="58"/>
      <c r="E772" s="58"/>
      <c r="F772" s="58"/>
      <c r="G772" s="58"/>
    </row>
    <row r="773">
      <c r="B773" s="58"/>
      <c r="C773" s="58"/>
      <c r="D773" s="58"/>
      <c r="E773" s="58"/>
      <c r="F773" s="58"/>
      <c r="G773" s="58"/>
    </row>
    <row r="774">
      <c r="B774" s="58"/>
      <c r="C774" s="58"/>
      <c r="D774" s="58"/>
      <c r="E774" s="58"/>
      <c r="F774" s="58"/>
      <c r="G774" s="58"/>
    </row>
    <row r="775">
      <c r="B775" s="58"/>
      <c r="C775" s="58"/>
      <c r="D775" s="58"/>
      <c r="E775" s="58"/>
      <c r="F775" s="58"/>
      <c r="G775" s="58"/>
    </row>
    <row r="776">
      <c r="B776" s="58"/>
      <c r="C776" s="58"/>
      <c r="D776" s="58"/>
      <c r="E776" s="58"/>
      <c r="F776" s="58"/>
      <c r="G776" s="58"/>
    </row>
    <row r="777">
      <c r="B777" s="58"/>
      <c r="C777" s="58"/>
      <c r="D777" s="58"/>
      <c r="E777" s="58"/>
      <c r="F777" s="58"/>
      <c r="G777" s="58"/>
    </row>
    <row r="778">
      <c r="B778" s="58"/>
      <c r="C778" s="58"/>
      <c r="D778" s="58"/>
      <c r="E778" s="58"/>
      <c r="F778" s="58"/>
      <c r="G778" s="58"/>
    </row>
    <row r="779">
      <c r="B779" s="58"/>
      <c r="C779" s="58"/>
      <c r="D779" s="58"/>
      <c r="E779" s="58"/>
      <c r="F779" s="58"/>
      <c r="G779" s="58"/>
    </row>
    <row r="780">
      <c r="B780" s="58"/>
      <c r="C780" s="58"/>
      <c r="D780" s="58"/>
      <c r="E780" s="58"/>
      <c r="F780" s="58"/>
      <c r="G780" s="58"/>
    </row>
    <row r="781">
      <c r="B781" s="58"/>
      <c r="C781" s="58"/>
      <c r="D781" s="58"/>
      <c r="E781" s="58"/>
      <c r="F781" s="58"/>
      <c r="G781" s="58"/>
    </row>
    <row r="782">
      <c r="B782" s="58"/>
      <c r="C782" s="58"/>
      <c r="D782" s="58"/>
      <c r="E782" s="58"/>
      <c r="F782" s="58"/>
      <c r="G782" s="58"/>
    </row>
    <row r="783">
      <c r="B783" s="58"/>
      <c r="C783" s="58"/>
      <c r="D783" s="58"/>
      <c r="E783" s="58"/>
      <c r="F783" s="58"/>
      <c r="G783" s="58"/>
    </row>
    <row r="784">
      <c r="B784" s="58"/>
      <c r="C784" s="58"/>
      <c r="D784" s="58"/>
      <c r="E784" s="58"/>
      <c r="F784" s="58"/>
      <c r="G784" s="58"/>
    </row>
    <row r="785">
      <c r="B785" s="58"/>
      <c r="C785" s="58"/>
      <c r="D785" s="58"/>
      <c r="E785" s="58"/>
      <c r="F785" s="58"/>
      <c r="G785" s="58"/>
    </row>
    <row r="786">
      <c r="B786" s="58"/>
      <c r="C786" s="58"/>
      <c r="D786" s="58"/>
      <c r="E786" s="58"/>
      <c r="F786" s="58"/>
      <c r="G786" s="58"/>
    </row>
    <row r="787">
      <c r="B787" s="58"/>
      <c r="C787" s="58"/>
      <c r="D787" s="58"/>
      <c r="E787" s="58"/>
      <c r="F787" s="58"/>
      <c r="G787" s="58"/>
    </row>
    <row r="788">
      <c r="B788" s="58"/>
      <c r="C788" s="58"/>
      <c r="D788" s="58"/>
      <c r="E788" s="58"/>
      <c r="F788" s="58"/>
      <c r="G788" s="58"/>
    </row>
    <row r="789">
      <c r="B789" s="58"/>
      <c r="C789" s="58"/>
      <c r="D789" s="58"/>
      <c r="E789" s="58"/>
      <c r="F789" s="58"/>
      <c r="G789" s="58"/>
    </row>
    <row r="790">
      <c r="B790" s="58"/>
      <c r="C790" s="58"/>
      <c r="D790" s="58"/>
      <c r="E790" s="58"/>
      <c r="F790" s="58"/>
      <c r="G790" s="58"/>
    </row>
    <row r="791">
      <c r="B791" s="58"/>
      <c r="C791" s="58"/>
      <c r="D791" s="58"/>
      <c r="E791" s="58"/>
      <c r="F791" s="58"/>
      <c r="G791" s="58"/>
    </row>
    <row r="792">
      <c r="B792" s="58"/>
      <c r="C792" s="58"/>
      <c r="D792" s="58"/>
      <c r="E792" s="58"/>
      <c r="F792" s="58"/>
      <c r="G792" s="58"/>
    </row>
    <row r="793">
      <c r="B793" s="58"/>
      <c r="C793" s="58"/>
      <c r="D793" s="58"/>
      <c r="E793" s="58"/>
      <c r="F793" s="58"/>
      <c r="G793" s="58"/>
    </row>
    <row r="794">
      <c r="B794" s="58"/>
      <c r="C794" s="58"/>
      <c r="D794" s="58"/>
      <c r="E794" s="58"/>
      <c r="F794" s="58"/>
      <c r="G794" s="58"/>
    </row>
    <row r="795">
      <c r="B795" s="58"/>
      <c r="C795" s="58"/>
      <c r="D795" s="58"/>
      <c r="E795" s="58"/>
      <c r="F795" s="58"/>
      <c r="G795" s="58"/>
    </row>
    <row r="796">
      <c r="B796" s="58"/>
      <c r="C796" s="58"/>
      <c r="D796" s="58"/>
      <c r="E796" s="58"/>
      <c r="F796" s="58"/>
      <c r="G796" s="58"/>
    </row>
    <row r="797">
      <c r="B797" s="58"/>
      <c r="C797" s="58"/>
      <c r="D797" s="58"/>
      <c r="E797" s="58"/>
      <c r="F797" s="58"/>
      <c r="G797" s="58"/>
    </row>
    <row r="798">
      <c r="B798" s="58"/>
      <c r="C798" s="58"/>
      <c r="D798" s="58"/>
      <c r="E798" s="58"/>
      <c r="F798" s="58"/>
      <c r="G798" s="58"/>
    </row>
    <row r="799">
      <c r="B799" s="58"/>
      <c r="C799" s="58"/>
      <c r="D799" s="58"/>
      <c r="E799" s="58"/>
      <c r="F799" s="58"/>
      <c r="G799" s="58"/>
    </row>
    <row r="800">
      <c r="B800" s="58"/>
      <c r="C800" s="58"/>
      <c r="D800" s="58"/>
      <c r="E800" s="58"/>
      <c r="F800" s="58"/>
      <c r="G800" s="58"/>
    </row>
    <row r="801">
      <c r="B801" s="58"/>
      <c r="C801" s="58"/>
      <c r="D801" s="58"/>
      <c r="E801" s="58"/>
      <c r="F801" s="58"/>
      <c r="G801" s="58"/>
    </row>
    <row r="802">
      <c r="B802" s="58"/>
      <c r="C802" s="58"/>
      <c r="D802" s="58"/>
      <c r="E802" s="58"/>
      <c r="F802" s="58"/>
      <c r="G802" s="58"/>
    </row>
    <row r="803">
      <c r="B803" s="58"/>
      <c r="C803" s="58"/>
      <c r="D803" s="58"/>
      <c r="E803" s="58"/>
      <c r="F803" s="58"/>
      <c r="G803" s="58"/>
    </row>
    <row r="804">
      <c r="B804" s="58"/>
      <c r="C804" s="58"/>
      <c r="D804" s="58"/>
      <c r="E804" s="58"/>
      <c r="F804" s="58"/>
      <c r="G804" s="58"/>
    </row>
    <row r="805">
      <c r="B805" s="58"/>
      <c r="C805" s="58"/>
      <c r="D805" s="58"/>
      <c r="E805" s="58"/>
      <c r="F805" s="58"/>
      <c r="G805" s="58"/>
    </row>
    <row r="806">
      <c r="B806" s="58"/>
      <c r="C806" s="58"/>
      <c r="D806" s="58"/>
      <c r="E806" s="58"/>
      <c r="F806" s="58"/>
      <c r="G806" s="58"/>
    </row>
    <row r="807">
      <c r="B807" s="58"/>
      <c r="C807" s="58"/>
      <c r="D807" s="58"/>
      <c r="E807" s="58"/>
      <c r="F807" s="58"/>
      <c r="G807" s="58"/>
    </row>
    <row r="808">
      <c r="B808" s="58"/>
      <c r="C808" s="58"/>
      <c r="D808" s="58"/>
      <c r="E808" s="58"/>
      <c r="F808" s="58"/>
      <c r="G808" s="58"/>
    </row>
    <row r="809">
      <c r="B809" s="58"/>
      <c r="C809" s="58"/>
      <c r="D809" s="58"/>
      <c r="E809" s="58"/>
      <c r="F809" s="58"/>
      <c r="G809" s="58"/>
    </row>
    <row r="810">
      <c r="B810" s="58"/>
      <c r="C810" s="58"/>
      <c r="D810" s="58"/>
      <c r="E810" s="58"/>
      <c r="F810" s="58"/>
      <c r="G810" s="58"/>
    </row>
    <row r="811">
      <c r="B811" s="58"/>
      <c r="C811" s="58"/>
      <c r="D811" s="58"/>
      <c r="E811" s="58"/>
      <c r="F811" s="58"/>
      <c r="G811" s="58"/>
    </row>
    <row r="812">
      <c r="B812" s="58"/>
      <c r="C812" s="58"/>
      <c r="D812" s="58"/>
      <c r="E812" s="58"/>
      <c r="F812" s="58"/>
      <c r="G812" s="58"/>
    </row>
    <row r="813">
      <c r="B813" s="58"/>
      <c r="C813" s="58"/>
      <c r="D813" s="58"/>
      <c r="E813" s="58"/>
      <c r="F813" s="58"/>
      <c r="G813" s="58"/>
    </row>
    <row r="814">
      <c r="B814" s="58"/>
      <c r="C814" s="58"/>
      <c r="D814" s="58"/>
      <c r="E814" s="58"/>
      <c r="F814" s="58"/>
      <c r="G814" s="58"/>
    </row>
    <row r="815">
      <c r="B815" s="58"/>
      <c r="C815" s="58"/>
      <c r="D815" s="58"/>
      <c r="E815" s="58"/>
      <c r="F815" s="58"/>
      <c r="G815" s="58"/>
    </row>
    <row r="816">
      <c r="B816" s="58"/>
      <c r="C816" s="58"/>
      <c r="D816" s="58"/>
      <c r="E816" s="58"/>
      <c r="F816" s="58"/>
      <c r="G816" s="58"/>
    </row>
    <row r="817">
      <c r="B817" s="58"/>
      <c r="C817" s="58"/>
      <c r="D817" s="58"/>
      <c r="E817" s="58"/>
      <c r="F817" s="58"/>
      <c r="G817" s="58"/>
    </row>
    <row r="818">
      <c r="B818" s="58"/>
      <c r="C818" s="58"/>
      <c r="D818" s="58"/>
      <c r="E818" s="58"/>
      <c r="F818" s="58"/>
      <c r="G818" s="58"/>
    </row>
    <row r="819">
      <c r="B819" s="58"/>
      <c r="C819" s="58"/>
      <c r="D819" s="58"/>
      <c r="E819" s="58"/>
      <c r="F819" s="58"/>
      <c r="G819" s="58"/>
    </row>
    <row r="820">
      <c r="B820" s="58"/>
      <c r="C820" s="58"/>
      <c r="D820" s="58"/>
      <c r="E820" s="58"/>
      <c r="F820" s="58"/>
      <c r="G820" s="58"/>
    </row>
    <row r="821">
      <c r="B821" s="58"/>
      <c r="C821" s="58"/>
      <c r="D821" s="58"/>
      <c r="E821" s="58"/>
      <c r="F821" s="58"/>
      <c r="G821" s="58"/>
    </row>
    <row r="822">
      <c r="B822" s="58"/>
      <c r="C822" s="58"/>
      <c r="D822" s="58"/>
      <c r="E822" s="58"/>
      <c r="F822" s="58"/>
      <c r="G822" s="58"/>
    </row>
    <row r="823">
      <c r="B823" s="58"/>
      <c r="C823" s="58"/>
      <c r="D823" s="58"/>
      <c r="E823" s="58"/>
      <c r="F823" s="58"/>
      <c r="G823" s="58"/>
    </row>
    <row r="824">
      <c r="B824" s="58"/>
      <c r="C824" s="58"/>
      <c r="D824" s="58"/>
      <c r="E824" s="58"/>
      <c r="F824" s="58"/>
      <c r="G824" s="58"/>
    </row>
    <row r="825">
      <c r="B825" s="58"/>
      <c r="C825" s="58"/>
      <c r="D825" s="58"/>
      <c r="E825" s="58"/>
      <c r="F825" s="58"/>
      <c r="G825" s="58"/>
    </row>
    <row r="826">
      <c r="B826" s="58"/>
      <c r="C826" s="58"/>
      <c r="D826" s="58"/>
      <c r="E826" s="58"/>
      <c r="F826" s="58"/>
      <c r="G826" s="58"/>
    </row>
    <row r="827">
      <c r="B827" s="58"/>
      <c r="C827" s="58"/>
      <c r="D827" s="58"/>
      <c r="E827" s="58"/>
      <c r="F827" s="58"/>
      <c r="G827" s="58"/>
    </row>
    <row r="828">
      <c r="B828" s="58"/>
      <c r="C828" s="58"/>
      <c r="D828" s="58"/>
      <c r="E828" s="58"/>
      <c r="F828" s="58"/>
      <c r="G828" s="58"/>
    </row>
    <row r="829">
      <c r="B829" s="58"/>
      <c r="C829" s="58"/>
      <c r="D829" s="58"/>
      <c r="E829" s="58"/>
      <c r="F829" s="58"/>
      <c r="G829" s="58"/>
    </row>
    <row r="830">
      <c r="B830" s="58"/>
      <c r="C830" s="58"/>
      <c r="D830" s="58"/>
      <c r="E830" s="58"/>
      <c r="F830" s="58"/>
      <c r="G830" s="58"/>
    </row>
    <row r="831">
      <c r="B831" s="58"/>
      <c r="C831" s="58"/>
      <c r="D831" s="58"/>
      <c r="E831" s="58"/>
      <c r="F831" s="58"/>
      <c r="G831" s="58"/>
    </row>
    <row r="832">
      <c r="B832" s="58"/>
      <c r="C832" s="58"/>
      <c r="D832" s="58"/>
      <c r="E832" s="58"/>
      <c r="F832" s="58"/>
      <c r="G832" s="58"/>
    </row>
    <row r="833">
      <c r="B833" s="58"/>
      <c r="C833" s="58"/>
      <c r="D833" s="58"/>
      <c r="E833" s="58"/>
      <c r="F833" s="58"/>
      <c r="G833" s="58"/>
    </row>
    <row r="834">
      <c r="B834" s="58"/>
      <c r="C834" s="58"/>
      <c r="D834" s="58"/>
      <c r="E834" s="58"/>
      <c r="F834" s="58"/>
      <c r="G834" s="58"/>
    </row>
    <row r="835">
      <c r="B835" s="58"/>
      <c r="C835" s="58"/>
      <c r="D835" s="58"/>
      <c r="E835" s="58"/>
      <c r="F835" s="58"/>
      <c r="G835" s="58"/>
    </row>
    <row r="836">
      <c r="B836" s="58"/>
      <c r="C836" s="58"/>
      <c r="D836" s="58"/>
      <c r="E836" s="58"/>
      <c r="F836" s="58"/>
      <c r="G836" s="58"/>
    </row>
    <row r="837">
      <c r="B837" s="58"/>
      <c r="C837" s="58"/>
      <c r="D837" s="58"/>
      <c r="E837" s="58"/>
      <c r="F837" s="58"/>
      <c r="G837" s="58"/>
    </row>
    <row r="838">
      <c r="B838" s="58"/>
      <c r="C838" s="58"/>
      <c r="D838" s="58"/>
      <c r="E838" s="58"/>
      <c r="F838" s="58"/>
      <c r="G838" s="58"/>
    </row>
    <row r="839">
      <c r="B839" s="58"/>
      <c r="C839" s="58"/>
      <c r="D839" s="58"/>
      <c r="E839" s="58"/>
      <c r="F839" s="58"/>
      <c r="G839" s="58"/>
    </row>
    <row r="840">
      <c r="B840" s="58"/>
      <c r="C840" s="58"/>
      <c r="D840" s="58"/>
      <c r="E840" s="58"/>
      <c r="F840" s="58"/>
      <c r="G840" s="58"/>
    </row>
    <row r="841">
      <c r="B841" s="58"/>
      <c r="C841" s="58"/>
      <c r="D841" s="58"/>
      <c r="E841" s="58"/>
      <c r="F841" s="58"/>
      <c r="G841" s="58"/>
    </row>
    <row r="842">
      <c r="B842" s="58"/>
      <c r="C842" s="58"/>
      <c r="D842" s="58"/>
      <c r="E842" s="58"/>
      <c r="F842" s="58"/>
      <c r="G842" s="58"/>
    </row>
    <row r="843">
      <c r="B843" s="58"/>
      <c r="C843" s="58"/>
      <c r="D843" s="58"/>
      <c r="E843" s="58"/>
      <c r="F843" s="58"/>
      <c r="G843" s="58"/>
    </row>
    <row r="844">
      <c r="B844" s="58"/>
      <c r="C844" s="58"/>
      <c r="D844" s="58"/>
      <c r="E844" s="58"/>
      <c r="F844" s="58"/>
      <c r="G844" s="58"/>
    </row>
    <row r="845">
      <c r="B845" s="58"/>
      <c r="C845" s="58"/>
      <c r="D845" s="58"/>
      <c r="E845" s="58"/>
      <c r="F845" s="58"/>
      <c r="G845" s="58"/>
    </row>
    <row r="846">
      <c r="B846" s="58"/>
      <c r="C846" s="58"/>
      <c r="D846" s="58"/>
      <c r="E846" s="58"/>
      <c r="F846" s="58"/>
      <c r="G846" s="58"/>
    </row>
    <row r="847">
      <c r="B847" s="58"/>
      <c r="C847" s="58"/>
      <c r="D847" s="58"/>
      <c r="E847" s="58"/>
      <c r="F847" s="58"/>
      <c r="G847" s="58"/>
    </row>
    <row r="848">
      <c r="B848" s="58"/>
      <c r="C848" s="58"/>
      <c r="D848" s="58"/>
      <c r="E848" s="58"/>
      <c r="F848" s="58"/>
      <c r="G848" s="58"/>
    </row>
    <row r="849">
      <c r="B849" s="58"/>
      <c r="C849" s="58"/>
      <c r="D849" s="58"/>
      <c r="E849" s="58"/>
      <c r="F849" s="58"/>
      <c r="G849" s="58"/>
    </row>
    <row r="850">
      <c r="B850" s="58"/>
      <c r="C850" s="58"/>
      <c r="D850" s="58"/>
      <c r="E850" s="58"/>
      <c r="F850" s="58"/>
      <c r="G850" s="58"/>
    </row>
    <row r="851">
      <c r="B851" s="58"/>
      <c r="C851" s="58"/>
      <c r="D851" s="58"/>
      <c r="E851" s="58"/>
      <c r="F851" s="58"/>
      <c r="G851" s="58"/>
    </row>
    <row r="852">
      <c r="B852" s="58"/>
      <c r="C852" s="58"/>
      <c r="D852" s="58"/>
      <c r="E852" s="58"/>
      <c r="F852" s="58"/>
      <c r="G852" s="58"/>
    </row>
    <row r="853">
      <c r="B853" s="58"/>
      <c r="C853" s="58"/>
      <c r="D853" s="58"/>
      <c r="E853" s="58"/>
      <c r="F853" s="58"/>
      <c r="G853" s="58"/>
    </row>
    <row r="854">
      <c r="B854" s="58"/>
      <c r="C854" s="58"/>
      <c r="D854" s="58"/>
      <c r="E854" s="58"/>
      <c r="F854" s="58"/>
      <c r="G854" s="58"/>
    </row>
    <row r="855">
      <c r="B855" s="58"/>
      <c r="C855" s="58"/>
      <c r="D855" s="58"/>
      <c r="E855" s="58"/>
      <c r="F855" s="58"/>
      <c r="G855" s="58"/>
    </row>
    <row r="856">
      <c r="B856" s="58"/>
      <c r="C856" s="58"/>
      <c r="D856" s="58"/>
      <c r="E856" s="58"/>
      <c r="F856" s="58"/>
      <c r="G856" s="58"/>
    </row>
    <row r="857">
      <c r="B857" s="58"/>
      <c r="C857" s="58"/>
      <c r="D857" s="58"/>
      <c r="E857" s="58"/>
      <c r="F857" s="58"/>
      <c r="G857" s="58"/>
    </row>
    <row r="858">
      <c r="B858" s="58"/>
      <c r="C858" s="58"/>
      <c r="D858" s="58"/>
      <c r="E858" s="58"/>
      <c r="F858" s="58"/>
      <c r="G858" s="58"/>
    </row>
    <row r="859">
      <c r="B859" s="58"/>
      <c r="C859" s="58"/>
      <c r="D859" s="58"/>
      <c r="E859" s="58"/>
      <c r="F859" s="58"/>
      <c r="G859" s="58"/>
    </row>
    <row r="860">
      <c r="B860" s="58"/>
      <c r="C860" s="58"/>
      <c r="D860" s="58"/>
      <c r="E860" s="58"/>
      <c r="F860" s="58"/>
      <c r="G860" s="58"/>
    </row>
    <row r="861">
      <c r="B861" s="58"/>
      <c r="C861" s="58"/>
      <c r="D861" s="58"/>
      <c r="E861" s="58"/>
      <c r="F861" s="58"/>
      <c r="G861" s="58"/>
    </row>
    <row r="862">
      <c r="B862" s="58"/>
      <c r="C862" s="58"/>
      <c r="D862" s="58"/>
      <c r="E862" s="58"/>
      <c r="F862" s="58"/>
      <c r="G862" s="58"/>
    </row>
    <row r="863">
      <c r="B863" s="58"/>
      <c r="C863" s="58"/>
      <c r="D863" s="58"/>
      <c r="E863" s="58"/>
      <c r="F863" s="58"/>
      <c r="G863" s="58"/>
    </row>
    <row r="864">
      <c r="B864" s="58"/>
      <c r="C864" s="58"/>
      <c r="D864" s="58"/>
      <c r="E864" s="58"/>
      <c r="F864" s="58"/>
      <c r="G864" s="58"/>
    </row>
    <row r="865">
      <c r="B865" s="58"/>
      <c r="C865" s="58"/>
      <c r="D865" s="58"/>
      <c r="E865" s="58"/>
      <c r="F865" s="58"/>
      <c r="G865" s="58"/>
    </row>
    <row r="866">
      <c r="B866" s="58"/>
      <c r="C866" s="58"/>
      <c r="D866" s="58"/>
      <c r="E866" s="58"/>
      <c r="F866" s="58"/>
      <c r="G866" s="58"/>
    </row>
    <row r="867">
      <c r="B867" s="58"/>
      <c r="C867" s="58"/>
      <c r="D867" s="58"/>
      <c r="E867" s="58"/>
      <c r="F867" s="58"/>
      <c r="G867" s="58"/>
    </row>
    <row r="868">
      <c r="B868" s="58"/>
      <c r="C868" s="58"/>
      <c r="D868" s="58"/>
      <c r="E868" s="58"/>
      <c r="F868" s="58"/>
      <c r="G868" s="58"/>
    </row>
    <row r="869">
      <c r="B869" s="58"/>
      <c r="C869" s="58"/>
      <c r="D869" s="58"/>
      <c r="E869" s="58"/>
      <c r="F869" s="58"/>
      <c r="G869" s="58"/>
    </row>
    <row r="870">
      <c r="B870" s="58"/>
      <c r="C870" s="58"/>
      <c r="D870" s="58"/>
      <c r="E870" s="58"/>
      <c r="F870" s="58"/>
      <c r="G870" s="58"/>
    </row>
    <row r="871">
      <c r="B871" s="58"/>
      <c r="C871" s="58"/>
      <c r="D871" s="58"/>
      <c r="E871" s="58"/>
      <c r="F871" s="58"/>
      <c r="G871" s="58"/>
    </row>
    <row r="872">
      <c r="B872" s="58"/>
      <c r="C872" s="58"/>
      <c r="D872" s="58"/>
      <c r="E872" s="58"/>
      <c r="F872" s="58"/>
      <c r="G872" s="58"/>
    </row>
    <row r="873">
      <c r="B873" s="58"/>
      <c r="C873" s="58"/>
      <c r="D873" s="58"/>
      <c r="E873" s="58"/>
      <c r="F873" s="58"/>
      <c r="G873" s="58"/>
    </row>
    <row r="874">
      <c r="B874" s="58"/>
      <c r="C874" s="58"/>
      <c r="D874" s="58"/>
      <c r="E874" s="58"/>
      <c r="F874" s="58"/>
      <c r="G874" s="58"/>
    </row>
    <row r="875">
      <c r="B875" s="58"/>
      <c r="C875" s="58"/>
      <c r="D875" s="58"/>
      <c r="E875" s="58"/>
      <c r="F875" s="58"/>
      <c r="G875" s="58"/>
    </row>
    <row r="876">
      <c r="B876" s="58"/>
      <c r="C876" s="58"/>
      <c r="D876" s="58"/>
      <c r="E876" s="58"/>
      <c r="F876" s="58"/>
      <c r="G876" s="58"/>
    </row>
    <row r="877">
      <c r="B877" s="58"/>
      <c r="C877" s="58"/>
      <c r="D877" s="58"/>
      <c r="E877" s="58"/>
      <c r="F877" s="58"/>
      <c r="G877" s="58"/>
    </row>
    <row r="878">
      <c r="B878" s="58"/>
      <c r="C878" s="58"/>
      <c r="D878" s="58"/>
      <c r="E878" s="58"/>
      <c r="F878" s="58"/>
      <c r="G878" s="58"/>
    </row>
    <row r="879">
      <c r="B879" s="58"/>
      <c r="C879" s="58"/>
      <c r="D879" s="58"/>
      <c r="E879" s="58"/>
      <c r="F879" s="58"/>
      <c r="G879" s="58"/>
    </row>
    <row r="880">
      <c r="B880" s="58"/>
      <c r="C880" s="58"/>
      <c r="D880" s="58"/>
      <c r="E880" s="58"/>
      <c r="F880" s="58"/>
      <c r="G880" s="58"/>
    </row>
    <row r="881">
      <c r="B881" s="58"/>
      <c r="C881" s="58"/>
      <c r="D881" s="58"/>
      <c r="E881" s="58"/>
      <c r="F881" s="58"/>
      <c r="G881" s="58"/>
    </row>
    <row r="882">
      <c r="B882" s="58"/>
      <c r="C882" s="58"/>
      <c r="D882" s="58"/>
      <c r="E882" s="58"/>
      <c r="F882" s="58"/>
      <c r="G882" s="58"/>
    </row>
    <row r="883">
      <c r="B883" s="58"/>
      <c r="C883" s="58"/>
      <c r="D883" s="58"/>
      <c r="E883" s="58"/>
      <c r="F883" s="58"/>
      <c r="G883" s="58"/>
    </row>
    <row r="884">
      <c r="B884" s="58"/>
      <c r="C884" s="58"/>
      <c r="D884" s="58"/>
      <c r="E884" s="58"/>
      <c r="F884" s="58"/>
      <c r="G884" s="58"/>
    </row>
    <row r="885">
      <c r="B885" s="58"/>
      <c r="C885" s="58"/>
      <c r="D885" s="58"/>
      <c r="E885" s="58"/>
      <c r="F885" s="58"/>
      <c r="G885" s="58"/>
    </row>
    <row r="886">
      <c r="B886" s="58"/>
      <c r="C886" s="58"/>
      <c r="D886" s="58"/>
      <c r="E886" s="58"/>
      <c r="F886" s="58"/>
      <c r="G886" s="58"/>
    </row>
    <row r="887">
      <c r="B887" s="58"/>
      <c r="C887" s="58"/>
      <c r="D887" s="58"/>
      <c r="E887" s="58"/>
      <c r="F887" s="58"/>
      <c r="G887" s="58"/>
    </row>
    <row r="888">
      <c r="B888" s="58"/>
      <c r="C888" s="58"/>
      <c r="D888" s="58"/>
      <c r="E888" s="58"/>
      <c r="F888" s="58"/>
      <c r="G888" s="58"/>
    </row>
    <row r="889">
      <c r="B889" s="58"/>
      <c r="C889" s="58"/>
      <c r="D889" s="58"/>
      <c r="E889" s="58"/>
      <c r="F889" s="58"/>
      <c r="G889" s="58"/>
    </row>
    <row r="890">
      <c r="B890" s="58"/>
      <c r="C890" s="58"/>
      <c r="D890" s="58"/>
      <c r="E890" s="58"/>
      <c r="F890" s="58"/>
      <c r="G890" s="58"/>
    </row>
    <row r="891">
      <c r="B891" s="58"/>
      <c r="C891" s="58"/>
      <c r="D891" s="58"/>
      <c r="E891" s="58"/>
      <c r="F891" s="58"/>
      <c r="G891" s="58"/>
    </row>
    <row r="892">
      <c r="B892" s="58"/>
      <c r="C892" s="58"/>
      <c r="D892" s="58"/>
      <c r="E892" s="58"/>
      <c r="F892" s="58"/>
      <c r="G892" s="58"/>
    </row>
    <row r="893">
      <c r="B893" s="58"/>
      <c r="C893" s="58"/>
      <c r="D893" s="58"/>
      <c r="E893" s="58"/>
      <c r="F893" s="58"/>
      <c r="G893" s="58"/>
    </row>
    <row r="894">
      <c r="B894" s="58"/>
      <c r="C894" s="58"/>
      <c r="D894" s="58"/>
      <c r="E894" s="58"/>
      <c r="F894" s="58"/>
      <c r="G894" s="58"/>
    </row>
    <row r="895">
      <c r="B895" s="58"/>
      <c r="C895" s="58"/>
      <c r="D895" s="58"/>
      <c r="E895" s="58"/>
      <c r="F895" s="58"/>
      <c r="G895" s="58"/>
    </row>
    <row r="896">
      <c r="B896" s="58"/>
      <c r="C896" s="58"/>
      <c r="D896" s="58"/>
      <c r="E896" s="58"/>
      <c r="F896" s="58"/>
      <c r="G896" s="58"/>
    </row>
    <row r="897">
      <c r="B897" s="58"/>
      <c r="C897" s="58"/>
      <c r="D897" s="58"/>
      <c r="E897" s="58"/>
      <c r="F897" s="58"/>
      <c r="G897" s="58"/>
    </row>
    <row r="898">
      <c r="B898" s="58"/>
      <c r="C898" s="58"/>
      <c r="D898" s="58"/>
      <c r="E898" s="58"/>
      <c r="F898" s="58"/>
      <c r="G898" s="58"/>
    </row>
    <row r="899">
      <c r="B899" s="58"/>
      <c r="C899" s="58"/>
      <c r="D899" s="58"/>
      <c r="E899" s="58"/>
      <c r="F899" s="58"/>
      <c r="G899" s="58"/>
    </row>
    <row r="900">
      <c r="B900" s="58"/>
      <c r="C900" s="58"/>
      <c r="D900" s="58"/>
      <c r="E900" s="58"/>
      <c r="F900" s="58"/>
      <c r="G900" s="58"/>
    </row>
    <row r="901">
      <c r="B901" s="58"/>
      <c r="C901" s="58"/>
      <c r="D901" s="58"/>
      <c r="E901" s="58"/>
      <c r="F901" s="58"/>
      <c r="G901" s="58"/>
    </row>
    <row r="902">
      <c r="B902" s="58"/>
      <c r="C902" s="58"/>
      <c r="D902" s="58"/>
      <c r="E902" s="58"/>
      <c r="F902" s="58"/>
      <c r="G902" s="58"/>
    </row>
    <row r="903">
      <c r="B903" s="58"/>
      <c r="C903" s="58"/>
      <c r="D903" s="58"/>
      <c r="E903" s="58"/>
      <c r="F903" s="58"/>
      <c r="G903" s="58"/>
    </row>
    <row r="904">
      <c r="B904" s="58"/>
      <c r="C904" s="58"/>
      <c r="D904" s="58"/>
      <c r="E904" s="58"/>
      <c r="F904" s="58"/>
      <c r="G904" s="58"/>
    </row>
    <row r="905">
      <c r="B905" s="58"/>
      <c r="C905" s="58"/>
      <c r="D905" s="58"/>
      <c r="E905" s="58"/>
      <c r="F905" s="58"/>
      <c r="G905" s="58"/>
    </row>
    <row r="906">
      <c r="B906" s="58"/>
      <c r="C906" s="58"/>
      <c r="D906" s="58"/>
      <c r="E906" s="58"/>
      <c r="F906" s="58"/>
      <c r="G906" s="58"/>
    </row>
    <row r="907">
      <c r="B907" s="58"/>
      <c r="C907" s="58"/>
      <c r="D907" s="58"/>
      <c r="E907" s="58"/>
      <c r="F907" s="58"/>
      <c r="G907" s="58"/>
    </row>
    <row r="908">
      <c r="B908" s="58"/>
      <c r="C908" s="58"/>
      <c r="D908" s="58"/>
      <c r="E908" s="58"/>
      <c r="F908" s="58"/>
      <c r="G908" s="58"/>
    </row>
    <row r="909">
      <c r="B909" s="58"/>
      <c r="C909" s="58"/>
      <c r="D909" s="58"/>
      <c r="E909" s="58"/>
      <c r="F909" s="58"/>
      <c r="G909" s="58"/>
    </row>
    <row r="910">
      <c r="B910" s="58"/>
      <c r="C910" s="58"/>
      <c r="D910" s="58"/>
      <c r="E910" s="58"/>
      <c r="F910" s="58"/>
      <c r="G910" s="58"/>
    </row>
    <row r="911">
      <c r="B911" s="58"/>
      <c r="C911" s="58"/>
      <c r="D911" s="58"/>
      <c r="E911" s="58"/>
      <c r="F911" s="58"/>
      <c r="G911" s="58"/>
    </row>
    <row r="912">
      <c r="B912" s="58"/>
      <c r="C912" s="58"/>
      <c r="D912" s="58"/>
      <c r="E912" s="58"/>
      <c r="F912" s="58"/>
      <c r="G912" s="58"/>
    </row>
    <row r="913">
      <c r="B913" s="58"/>
      <c r="C913" s="58"/>
      <c r="D913" s="58"/>
      <c r="E913" s="58"/>
      <c r="F913" s="58"/>
      <c r="G913" s="58"/>
    </row>
    <row r="914">
      <c r="B914" s="58"/>
      <c r="C914" s="58"/>
      <c r="D914" s="58"/>
      <c r="E914" s="58"/>
      <c r="F914" s="58"/>
      <c r="G914" s="58"/>
    </row>
    <row r="915">
      <c r="B915" s="58"/>
      <c r="C915" s="58"/>
      <c r="D915" s="58"/>
      <c r="E915" s="58"/>
      <c r="F915" s="58"/>
      <c r="G915" s="58"/>
    </row>
    <row r="916">
      <c r="B916" s="58"/>
      <c r="C916" s="58"/>
      <c r="D916" s="58"/>
      <c r="E916" s="58"/>
      <c r="F916" s="58"/>
      <c r="G916" s="58"/>
    </row>
    <row r="917">
      <c r="B917" s="58"/>
      <c r="C917" s="58"/>
      <c r="D917" s="58"/>
      <c r="E917" s="58"/>
      <c r="F917" s="58"/>
      <c r="G917" s="58"/>
    </row>
    <row r="918">
      <c r="B918" s="58"/>
      <c r="C918" s="58"/>
      <c r="D918" s="58"/>
      <c r="E918" s="58"/>
      <c r="F918" s="58"/>
      <c r="G918" s="58"/>
    </row>
    <row r="919">
      <c r="B919" s="58"/>
      <c r="C919" s="58"/>
      <c r="D919" s="58"/>
      <c r="E919" s="58"/>
      <c r="F919" s="58"/>
      <c r="G919" s="58"/>
    </row>
    <row r="920">
      <c r="B920" s="58"/>
      <c r="C920" s="58"/>
      <c r="D920" s="58"/>
      <c r="E920" s="58"/>
      <c r="F920" s="58"/>
      <c r="G920" s="58"/>
    </row>
    <row r="921">
      <c r="B921" s="58"/>
      <c r="C921" s="58"/>
      <c r="D921" s="58"/>
      <c r="E921" s="58"/>
      <c r="F921" s="58"/>
      <c r="G921" s="58"/>
    </row>
    <row r="922">
      <c r="B922" s="58"/>
      <c r="C922" s="58"/>
      <c r="D922" s="58"/>
      <c r="E922" s="58"/>
      <c r="F922" s="58"/>
      <c r="G922" s="58"/>
    </row>
    <row r="923">
      <c r="B923" s="58"/>
      <c r="C923" s="58"/>
      <c r="D923" s="58"/>
      <c r="E923" s="58"/>
      <c r="F923" s="58"/>
      <c r="G923" s="58"/>
    </row>
    <row r="924">
      <c r="B924" s="58"/>
      <c r="C924" s="58"/>
      <c r="D924" s="58"/>
      <c r="E924" s="58"/>
      <c r="F924" s="58"/>
      <c r="G924" s="58"/>
    </row>
    <row r="925">
      <c r="B925" s="58"/>
      <c r="C925" s="58"/>
      <c r="D925" s="58"/>
      <c r="E925" s="58"/>
      <c r="F925" s="58"/>
      <c r="G925" s="58"/>
    </row>
    <row r="926">
      <c r="B926" s="58"/>
      <c r="C926" s="58"/>
      <c r="D926" s="58"/>
      <c r="E926" s="58"/>
      <c r="F926" s="58"/>
      <c r="G926" s="58"/>
    </row>
    <row r="927">
      <c r="B927" s="58"/>
      <c r="C927" s="58"/>
      <c r="D927" s="58"/>
      <c r="E927" s="58"/>
      <c r="F927" s="58"/>
      <c r="G927" s="58"/>
    </row>
    <row r="928">
      <c r="B928" s="58"/>
      <c r="C928" s="58"/>
      <c r="D928" s="58"/>
      <c r="E928" s="58"/>
      <c r="F928" s="58"/>
      <c r="G928" s="58"/>
    </row>
    <row r="929">
      <c r="B929" s="58"/>
      <c r="C929" s="58"/>
      <c r="D929" s="58"/>
      <c r="E929" s="58"/>
      <c r="F929" s="58"/>
      <c r="G929" s="58"/>
    </row>
    <row r="930">
      <c r="B930" s="58"/>
      <c r="C930" s="58"/>
      <c r="D930" s="58"/>
      <c r="E930" s="58"/>
      <c r="F930" s="58"/>
      <c r="G930" s="58"/>
    </row>
    <row r="931">
      <c r="B931" s="58"/>
      <c r="C931" s="58"/>
      <c r="D931" s="58"/>
      <c r="E931" s="58"/>
      <c r="F931" s="58"/>
      <c r="G931" s="58"/>
    </row>
    <row r="932">
      <c r="B932" s="58"/>
      <c r="C932" s="58"/>
      <c r="D932" s="58"/>
      <c r="E932" s="58"/>
      <c r="F932" s="58"/>
      <c r="G932" s="58"/>
    </row>
    <row r="933">
      <c r="B933" s="58"/>
      <c r="C933" s="58"/>
      <c r="D933" s="58"/>
      <c r="E933" s="58"/>
      <c r="F933" s="58"/>
      <c r="G933" s="58"/>
    </row>
    <row r="934">
      <c r="B934" s="58"/>
      <c r="C934" s="58"/>
      <c r="D934" s="58"/>
      <c r="E934" s="58"/>
      <c r="F934" s="58"/>
      <c r="G934" s="58"/>
    </row>
    <row r="935">
      <c r="B935" s="58"/>
      <c r="C935" s="58"/>
      <c r="D935" s="58"/>
      <c r="E935" s="58"/>
      <c r="F935" s="58"/>
      <c r="G935" s="58"/>
    </row>
    <row r="936">
      <c r="B936" s="58"/>
      <c r="C936" s="58"/>
      <c r="D936" s="58"/>
      <c r="E936" s="58"/>
      <c r="F936" s="58"/>
      <c r="G936" s="58"/>
    </row>
    <row r="937">
      <c r="B937" s="58"/>
      <c r="C937" s="58"/>
      <c r="D937" s="58"/>
      <c r="E937" s="58"/>
      <c r="F937" s="58"/>
      <c r="G937" s="58"/>
    </row>
    <row r="938">
      <c r="B938" s="58"/>
      <c r="C938" s="58"/>
      <c r="D938" s="58"/>
      <c r="E938" s="58"/>
      <c r="F938" s="58"/>
      <c r="G938" s="58"/>
    </row>
    <row r="939">
      <c r="B939" s="58"/>
      <c r="C939" s="58"/>
      <c r="D939" s="58"/>
      <c r="E939" s="58"/>
      <c r="F939" s="58"/>
      <c r="G939" s="58"/>
    </row>
    <row r="940">
      <c r="B940" s="58"/>
      <c r="C940" s="58"/>
      <c r="D940" s="58"/>
      <c r="E940" s="58"/>
      <c r="F940" s="58"/>
      <c r="G940" s="58"/>
    </row>
    <row r="941">
      <c r="B941" s="58"/>
      <c r="C941" s="58"/>
      <c r="D941" s="58"/>
      <c r="E941" s="58"/>
      <c r="F941" s="58"/>
      <c r="G941" s="58"/>
    </row>
    <row r="942">
      <c r="B942" s="58"/>
      <c r="C942" s="58"/>
      <c r="D942" s="58"/>
      <c r="E942" s="58"/>
      <c r="F942" s="58"/>
      <c r="G942" s="58"/>
    </row>
    <row r="943">
      <c r="B943" s="58"/>
      <c r="C943" s="58"/>
      <c r="D943" s="58"/>
      <c r="E943" s="58"/>
      <c r="F943" s="58"/>
      <c r="G943" s="58"/>
    </row>
    <row r="944">
      <c r="B944" s="58"/>
      <c r="C944" s="58"/>
      <c r="D944" s="58"/>
      <c r="E944" s="58"/>
      <c r="F944" s="58"/>
      <c r="G944" s="58"/>
    </row>
    <row r="945">
      <c r="B945" s="58"/>
      <c r="C945" s="58"/>
      <c r="D945" s="58"/>
      <c r="E945" s="58"/>
      <c r="F945" s="58"/>
      <c r="G945" s="58"/>
    </row>
    <row r="946">
      <c r="B946" s="58"/>
      <c r="C946" s="58"/>
      <c r="D946" s="58"/>
      <c r="E946" s="58"/>
      <c r="F946" s="58"/>
      <c r="G946" s="58"/>
    </row>
    <row r="947">
      <c r="B947" s="58"/>
      <c r="C947" s="58"/>
      <c r="D947" s="58"/>
      <c r="E947" s="58"/>
      <c r="F947" s="58"/>
      <c r="G947" s="58"/>
    </row>
    <row r="948">
      <c r="B948" s="58"/>
      <c r="C948" s="58"/>
      <c r="D948" s="58"/>
      <c r="E948" s="58"/>
      <c r="F948" s="58"/>
      <c r="G948" s="58"/>
    </row>
    <row r="949">
      <c r="B949" s="58"/>
      <c r="C949" s="58"/>
      <c r="D949" s="58"/>
      <c r="E949" s="58"/>
      <c r="F949" s="58"/>
      <c r="G949" s="58"/>
    </row>
    <row r="950">
      <c r="B950" s="58"/>
      <c r="C950" s="58"/>
      <c r="D950" s="58"/>
      <c r="E950" s="58"/>
      <c r="F950" s="58"/>
      <c r="G950" s="58"/>
    </row>
    <row r="951">
      <c r="B951" s="58"/>
      <c r="C951" s="58"/>
      <c r="D951" s="58"/>
      <c r="E951" s="58"/>
      <c r="F951" s="58"/>
      <c r="G951" s="58"/>
    </row>
    <row r="952">
      <c r="B952" s="58"/>
      <c r="C952" s="58"/>
      <c r="D952" s="58"/>
      <c r="E952" s="58"/>
      <c r="F952" s="58"/>
      <c r="G952" s="58"/>
    </row>
    <row r="953">
      <c r="B953" s="58"/>
      <c r="C953" s="58"/>
      <c r="D953" s="58"/>
      <c r="E953" s="58"/>
      <c r="F953" s="58"/>
      <c r="G953" s="58"/>
    </row>
    <row r="954">
      <c r="B954" s="58"/>
      <c r="C954" s="58"/>
      <c r="D954" s="58"/>
      <c r="E954" s="58"/>
      <c r="F954" s="58"/>
      <c r="G954" s="58"/>
    </row>
    <row r="955">
      <c r="B955" s="58"/>
      <c r="C955" s="58"/>
      <c r="D955" s="58"/>
      <c r="E955" s="58"/>
      <c r="F955" s="58"/>
      <c r="G955" s="58"/>
    </row>
    <row r="956">
      <c r="B956" s="58"/>
      <c r="C956" s="58"/>
      <c r="D956" s="58"/>
      <c r="E956" s="58"/>
      <c r="F956" s="58"/>
      <c r="G956" s="58"/>
    </row>
    <row r="957">
      <c r="B957" s="58"/>
      <c r="C957" s="58"/>
      <c r="D957" s="58"/>
      <c r="E957" s="58"/>
      <c r="F957" s="58"/>
      <c r="G957" s="58"/>
    </row>
    <row r="958">
      <c r="B958" s="58"/>
      <c r="C958" s="58"/>
      <c r="D958" s="58"/>
      <c r="E958" s="58"/>
      <c r="F958" s="58"/>
      <c r="G958" s="58"/>
    </row>
    <row r="959">
      <c r="B959" s="58"/>
      <c r="C959" s="58"/>
      <c r="D959" s="58"/>
      <c r="E959" s="58"/>
      <c r="F959" s="58"/>
      <c r="G959" s="58"/>
    </row>
    <row r="960">
      <c r="B960" s="58"/>
      <c r="C960" s="58"/>
      <c r="D960" s="58"/>
      <c r="E960" s="58"/>
      <c r="F960" s="58"/>
      <c r="G960" s="58"/>
    </row>
    <row r="961">
      <c r="B961" s="58"/>
      <c r="C961" s="58"/>
      <c r="D961" s="58"/>
      <c r="E961" s="58"/>
      <c r="F961" s="58"/>
      <c r="G961" s="58"/>
    </row>
    <row r="962">
      <c r="B962" s="58"/>
      <c r="C962" s="58"/>
      <c r="D962" s="58"/>
      <c r="E962" s="58"/>
      <c r="F962" s="58"/>
      <c r="G962" s="58"/>
    </row>
    <row r="963">
      <c r="B963" s="58"/>
      <c r="C963" s="58"/>
      <c r="D963" s="58"/>
      <c r="E963" s="58"/>
      <c r="F963" s="58"/>
      <c r="G963" s="58"/>
    </row>
    <row r="964">
      <c r="B964" s="58"/>
      <c r="C964" s="58"/>
      <c r="D964" s="58"/>
      <c r="E964" s="58"/>
      <c r="F964" s="58"/>
      <c r="G964" s="58"/>
    </row>
    <row r="965">
      <c r="B965" s="58"/>
      <c r="C965" s="58"/>
      <c r="D965" s="58"/>
      <c r="E965" s="58"/>
      <c r="F965" s="58"/>
      <c r="G965" s="58"/>
    </row>
    <row r="966">
      <c r="B966" s="58"/>
      <c r="C966" s="58"/>
      <c r="D966" s="58"/>
      <c r="E966" s="58"/>
      <c r="F966" s="58"/>
      <c r="G966" s="58"/>
    </row>
    <row r="967">
      <c r="B967" s="58"/>
      <c r="C967" s="58"/>
      <c r="D967" s="58"/>
      <c r="E967" s="58"/>
      <c r="F967" s="58"/>
      <c r="G967" s="58"/>
    </row>
    <row r="968">
      <c r="B968" s="58"/>
      <c r="C968" s="58"/>
      <c r="D968" s="58"/>
      <c r="E968" s="58"/>
      <c r="F968" s="58"/>
      <c r="G968" s="58"/>
    </row>
    <row r="969">
      <c r="B969" s="58"/>
      <c r="C969" s="58"/>
      <c r="D969" s="58"/>
      <c r="E969" s="58"/>
      <c r="F969" s="58"/>
      <c r="G969" s="58"/>
    </row>
    <row r="970">
      <c r="B970" s="58"/>
      <c r="C970" s="58"/>
      <c r="D970" s="58"/>
      <c r="E970" s="58"/>
      <c r="F970" s="58"/>
      <c r="G970" s="58"/>
    </row>
    <row r="971">
      <c r="B971" s="58"/>
      <c r="C971" s="58"/>
      <c r="D971" s="58"/>
      <c r="E971" s="58"/>
      <c r="F971" s="58"/>
      <c r="G971" s="58"/>
    </row>
    <row r="972">
      <c r="B972" s="58"/>
      <c r="C972" s="58"/>
      <c r="D972" s="58"/>
      <c r="E972" s="58"/>
      <c r="F972" s="58"/>
      <c r="G972" s="58"/>
    </row>
    <row r="973">
      <c r="B973" s="58"/>
      <c r="C973" s="58"/>
      <c r="D973" s="58"/>
      <c r="E973" s="58"/>
      <c r="F973" s="58"/>
      <c r="G973" s="58"/>
    </row>
    <row r="974">
      <c r="B974" s="58"/>
      <c r="C974" s="58"/>
      <c r="D974" s="58"/>
      <c r="E974" s="58"/>
      <c r="F974" s="58"/>
      <c r="G974" s="58"/>
    </row>
    <row r="975">
      <c r="B975" s="58"/>
      <c r="C975" s="58"/>
      <c r="D975" s="58"/>
      <c r="E975" s="58"/>
      <c r="F975" s="58"/>
      <c r="G975" s="58"/>
    </row>
    <row r="976">
      <c r="B976" s="58"/>
      <c r="C976" s="58"/>
      <c r="D976" s="58"/>
      <c r="E976" s="58"/>
      <c r="F976" s="58"/>
      <c r="G976" s="58"/>
    </row>
    <row r="977">
      <c r="B977" s="58"/>
      <c r="C977" s="58"/>
      <c r="D977" s="58"/>
      <c r="E977" s="58"/>
      <c r="F977" s="58"/>
      <c r="G977" s="58"/>
    </row>
    <row r="978">
      <c r="B978" s="58"/>
      <c r="C978" s="58"/>
      <c r="D978" s="58"/>
      <c r="E978" s="58"/>
      <c r="F978" s="58"/>
      <c r="G978" s="58"/>
    </row>
    <row r="979">
      <c r="B979" s="58"/>
      <c r="C979" s="58"/>
      <c r="D979" s="58"/>
      <c r="E979" s="58"/>
      <c r="F979" s="58"/>
      <c r="G979" s="58"/>
    </row>
    <row r="980">
      <c r="B980" s="58"/>
      <c r="C980" s="58"/>
      <c r="D980" s="58"/>
      <c r="E980" s="58"/>
      <c r="F980" s="58"/>
      <c r="G980" s="58"/>
    </row>
    <row r="981">
      <c r="B981" s="58"/>
      <c r="C981" s="58"/>
      <c r="D981" s="58"/>
      <c r="E981" s="58"/>
      <c r="F981" s="58"/>
      <c r="G981" s="58"/>
    </row>
    <row r="982">
      <c r="B982" s="58"/>
      <c r="C982" s="58"/>
      <c r="D982" s="58"/>
      <c r="E982" s="58"/>
      <c r="F982" s="58"/>
      <c r="G982" s="58"/>
    </row>
    <row r="983">
      <c r="B983" s="58"/>
      <c r="C983" s="58"/>
      <c r="D983" s="58"/>
      <c r="E983" s="58"/>
      <c r="F983" s="58"/>
      <c r="G983" s="58"/>
    </row>
    <row r="984">
      <c r="B984" s="58"/>
      <c r="C984" s="58"/>
      <c r="D984" s="58"/>
      <c r="E984" s="58"/>
      <c r="F984" s="58"/>
      <c r="G984" s="58"/>
    </row>
    <row r="985">
      <c r="B985" s="58"/>
      <c r="C985" s="58"/>
      <c r="D985" s="58"/>
      <c r="E985" s="58"/>
      <c r="F985" s="58"/>
      <c r="G985" s="58"/>
    </row>
    <row r="986">
      <c r="B986" s="58"/>
      <c r="C986" s="58"/>
      <c r="D986" s="58"/>
      <c r="E986" s="58"/>
      <c r="F986" s="58"/>
      <c r="G986" s="58"/>
    </row>
    <row r="987">
      <c r="B987" s="58"/>
      <c r="C987" s="58"/>
      <c r="D987" s="58"/>
      <c r="E987" s="58"/>
      <c r="F987" s="58"/>
      <c r="G987" s="58"/>
    </row>
    <row r="988">
      <c r="B988" s="58"/>
      <c r="C988" s="58"/>
      <c r="D988" s="58"/>
      <c r="E988" s="58"/>
      <c r="F988" s="58"/>
      <c r="G988" s="58"/>
    </row>
    <row r="989">
      <c r="B989" s="58"/>
      <c r="C989" s="58"/>
      <c r="D989" s="58"/>
      <c r="E989" s="58"/>
      <c r="F989" s="58"/>
      <c r="G989" s="58"/>
    </row>
    <row r="990">
      <c r="B990" s="58"/>
      <c r="C990" s="58"/>
      <c r="D990" s="58"/>
      <c r="E990" s="58"/>
      <c r="F990" s="58"/>
      <c r="G990" s="58"/>
    </row>
    <row r="991">
      <c r="B991" s="58"/>
      <c r="C991" s="58"/>
      <c r="D991" s="58"/>
      <c r="E991" s="58"/>
      <c r="F991" s="58"/>
      <c r="G991" s="58"/>
    </row>
    <row r="992">
      <c r="B992" s="58"/>
      <c r="C992" s="58"/>
      <c r="D992" s="58"/>
      <c r="E992" s="58"/>
      <c r="F992" s="58"/>
      <c r="G992" s="58"/>
    </row>
    <row r="993">
      <c r="B993" s="58"/>
      <c r="C993" s="58"/>
      <c r="D993" s="58"/>
      <c r="E993" s="58"/>
      <c r="F993" s="58"/>
      <c r="G993" s="58"/>
    </row>
    <row r="994">
      <c r="B994" s="58"/>
      <c r="C994" s="58"/>
      <c r="D994" s="58"/>
      <c r="E994" s="58"/>
      <c r="F994" s="58"/>
      <c r="G994" s="58"/>
    </row>
    <row r="995">
      <c r="B995" s="58"/>
      <c r="C995" s="58"/>
      <c r="D995" s="58"/>
      <c r="E995" s="58"/>
      <c r="F995" s="58"/>
      <c r="G995" s="58"/>
    </row>
    <row r="996">
      <c r="B996" s="58"/>
      <c r="C996" s="58"/>
      <c r="D996" s="58"/>
      <c r="E996" s="58"/>
      <c r="F996" s="58"/>
      <c r="G996" s="58"/>
    </row>
    <row r="997">
      <c r="B997" s="58"/>
      <c r="C997" s="58"/>
      <c r="D997" s="58"/>
      <c r="E997" s="58"/>
      <c r="F997" s="58"/>
      <c r="G997" s="58"/>
    </row>
    <row r="998">
      <c r="B998" s="58"/>
      <c r="C998" s="58"/>
      <c r="D998" s="58"/>
      <c r="E998" s="58"/>
      <c r="F998" s="58"/>
      <c r="G998" s="58"/>
    </row>
    <row r="999">
      <c r="B999" s="58"/>
      <c r="C999" s="58"/>
      <c r="D999" s="58"/>
      <c r="E999" s="58"/>
      <c r="F999" s="58"/>
      <c r="G999" s="58"/>
    </row>
    <row r="1000">
      <c r="B1000" s="58"/>
      <c r="C1000" s="58"/>
      <c r="D1000" s="58"/>
      <c r="E1000" s="58"/>
      <c r="F1000" s="58"/>
      <c r="G1000" s="58"/>
    </row>
    <row r="1001">
      <c r="B1001" s="58"/>
      <c r="C1001" s="58"/>
      <c r="D1001" s="58"/>
      <c r="E1001" s="58"/>
      <c r="F1001" s="58"/>
      <c r="G1001" s="58"/>
    </row>
    <row r="1002">
      <c r="B1002" s="58"/>
      <c r="C1002" s="58"/>
      <c r="D1002" s="58"/>
      <c r="E1002" s="58"/>
      <c r="F1002" s="58"/>
      <c r="G1002" s="58"/>
    </row>
  </sheetData>
  <drawing r:id="rId1"/>
</worksheet>
</file>